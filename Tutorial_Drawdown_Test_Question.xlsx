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tankeshav\Desktop\"/>
    </mc:Choice>
  </mc:AlternateContent>
  <xr:revisionPtr revIDLastSave="0" documentId="13_ncr:1_{7805E16A-4FA6-410A-AED4-41BB00BBBB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uto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E45" i="1"/>
  <c r="L2" i="1" a="1"/>
  <c r="L2" i="1" s="1"/>
  <c r="G5" i="1"/>
  <c r="G1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<sst xmlns="http://schemas.openxmlformats.org/spreadsheetml/2006/main" count="17" uniqueCount="16">
  <si>
    <t>t (hrs)</t>
  </si>
  <si>
    <t>FBHP (psia)</t>
  </si>
  <si>
    <t>y = -1.3161x + 3588.1</t>
  </si>
  <si>
    <t>k</t>
  </si>
  <si>
    <t>S</t>
  </si>
  <si>
    <t>y = -0.2213x + 3530.7</t>
  </si>
  <si>
    <t>m=0.223qB/phi*Ct*A*h</t>
  </si>
  <si>
    <t>A</t>
  </si>
  <si>
    <t>delta P</t>
  </si>
  <si>
    <t>tdp/dt</t>
  </si>
  <si>
    <t>a</t>
  </si>
  <si>
    <t>y=ax^b</t>
  </si>
  <si>
    <t>logy=loga+blogx</t>
  </si>
  <si>
    <t>slope=b</t>
  </si>
  <si>
    <t>Pwf(ax^b)</t>
  </si>
  <si>
    <t>b=1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</si>
</sst>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Tutorial!$B$2:$B$31</c:f>
              <c:numCache>
                <c:formatCode>General</c:formatCode>
                <c:ptCount val="30"/>
                <c:pt idx="0">
                  <c:v>4412</c:v>
                </c:pt>
                <c:pt idx="1">
                  <c:v>3812</c:v>
                </c:pt>
                <c:pt idx="2">
                  <c:v>3699</c:v>
                </c:pt>
                <c:pt idx="3">
                  <c:v>3653</c:v>
                </c:pt>
                <c:pt idx="4">
                  <c:v>3628</c:v>
                </c:pt>
                <c:pt idx="5">
                  <c:v>3615</c:v>
                </c:pt>
                <c:pt idx="6">
                  <c:v>3607</c:v>
                </c:pt>
                <c:pt idx="7">
                  <c:v>3600</c:v>
                </c:pt>
                <c:pt idx="8">
                  <c:v>3593</c:v>
                </c:pt>
                <c:pt idx="9">
                  <c:v>3586</c:v>
                </c:pt>
                <c:pt idx="10">
                  <c:v>3573</c:v>
                </c:pt>
                <c:pt idx="11">
                  <c:v>3567</c:v>
                </c:pt>
                <c:pt idx="12">
                  <c:v>3561</c:v>
                </c:pt>
                <c:pt idx="13">
                  <c:v>3555</c:v>
                </c:pt>
                <c:pt idx="14">
                  <c:v>3549</c:v>
                </c:pt>
                <c:pt idx="15">
                  <c:v>3544</c:v>
                </c:pt>
                <c:pt idx="16">
                  <c:v>3537</c:v>
                </c:pt>
                <c:pt idx="17">
                  <c:v>3532</c:v>
                </c:pt>
                <c:pt idx="18">
                  <c:v>3526</c:v>
                </c:pt>
                <c:pt idx="19">
                  <c:v>3521</c:v>
                </c:pt>
                <c:pt idx="20">
                  <c:v>3515</c:v>
                </c:pt>
                <c:pt idx="21">
                  <c:v>3509</c:v>
                </c:pt>
                <c:pt idx="22">
                  <c:v>3503</c:v>
                </c:pt>
                <c:pt idx="23">
                  <c:v>3497</c:v>
                </c:pt>
                <c:pt idx="24">
                  <c:v>3490</c:v>
                </c:pt>
                <c:pt idx="25">
                  <c:v>3481</c:v>
                </c:pt>
                <c:pt idx="26">
                  <c:v>3472</c:v>
                </c:pt>
                <c:pt idx="27">
                  <c:v>3460</c:v>
                </c:pt>
                <c:pt idx="28">
                  <c:v>3446</c:v>
                </c:pt>
                <c:pt idx="29">
                  <c:v>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4-465A-91C7-B60E8DCA29C3}"/>
            </c:ext>
          </c:extLst>
        </c:ser>
        <c:ser>
          <c:idx val="1"/>
          <c:order val="1"/>
          <c:tx>
            <c:strRef>
              <c:f>Tutorial!$A$14:$A$19</c:f>
              <c:strCache>
                <c:ptCount val="6"/>
                <c:pt idx="0">
                  <c:v>20.7</c:v>
                </c:pt>
                <c:pt idx="1">
                  <c:v>24.9</c:v>
                </c:pt>
                <c:pt idx="2">
                  <c:v>29.8</c:v>
                </c:pt>
                <c:pt idx="3">
                  <c:v>35.8</c:v>
                </c:pt>
                <c:pt idx="4">
                  <c:v>43</c:v>
                </c:pt>
                <c:pt idx="5">
                  <c:v>51.5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Tutorial!$A$14:$A$16</c:f>
              <c:numCache>
                <c:formatCode>General</c:formatCode>
                <c:ptCount val="3"/>
                <c:pt idx="0">
                  <c:v>20.7</c:v>
                </c:pt>
                <c:pt idx="1">
                  <c:v>24.9</c:v>
                </c:pt>
                <c:pt idx="2">
                  <c:v>29.8</c:v>
                </c:pt>
              </c:numCache>
            </c:numRef>
          </c:xVal>
          <c:yVal>
            <c:numRef>
              <c:f>Tutorial!$B$14:$B$16</c:f>
              <c:numCache>
                <c:formatCode>General</c:formatCode>
                <c:ptCount val="3"/>
                <c:pt idx="0">
                  <c:v>3561</c:v>
                </c:pt>
                <c:pt idx="1">
                  <c:v>3555</c:v>
                </c:pt>
                <c:pt idx="2">
                  <c:v>3549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74-465A-91C7-B60E8DCA2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03504"/>
        <c:axId val="1472404944"/>
      </c:scatterChart>
      <c:valAx>
        <c:axId val="14724035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04944"/>
        <c:crosses val="autoZero"/>
        <c:crossBetween val="midCat"/>
      </c:valAx>
      <c:valAx>
        <c:axId val="14724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03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Tutorial!$A$28:$A$31</c:f>
              <c:numCache>
                <c:formatCode>General</c:formatCode>
                <c:ptCount val="4"/>
                <c:pt idx="0">
                  <c:v>266</c:v>
                </c:pt>
                <c:pt idx="1">
                  <c:v>319</c:v>
                </c:pt>
                <c:pt idx="2">
                  <c:v>383</c:v>
                </c:pt>
                <c:pt idx="3">
                  <c:v>460</c:v>
                </c:pt>
              </c:numCache>
            </c:numRef>
          </c:xVal>
          <c:yVal>
            <c:numRef>
              <c:f>Tutorial!$B$28:$B$31</c:f>
              <c:numCache>
                <c:formatCode>General</c:formatCode>
                <c:ptCount val="4"/>
                <c:pt idx="0">
                  <c:v>3472</c:v>
                </c:pt>
                <c:pt idx="1">
                  <c:v>3460</c:v>
                </c:pt>
                <c:pt idx="2">
                  <c:v>3446</c:v>
                </c:pt>
                <c:pt idx="3">
                  <c:v>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E-4E38-9194-6858A2EF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571184"/>
        <c:axId val="1656561104"/>
      </c:scatterChart>
      <c:valAx>
        <c:axId val="16565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61104"/>
        <c:crosses val="autoZero"/>
        <c:crossBetween val="midCat"/>
      </c:valAx>
      <c:valAx>
        <c:axId val="16565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Tutorial!$C$1</c:f>
              <c:strCache>
                <c:ptCount val="1"/>
                <c:pt idx="0">
                  <c:v>delta 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Tutorial!$A$2:$A$45</c:f>
              <c:numCache>
                <c:formatCode>General</c:formatCode>
                <c:ptCount val="44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Tutorial!$C$2:$C$45</c:f>
              <c:numCache>
                <c:formatCode>General</c:formatCode>
                <c:ptCount val="44"/>
                <c:pt idx="0">
                  <c:v>600</c:v>
                </c:pt>
                <c:pt idx="1">
                  <c:v>713</c:v>
                </c:pt>
                <c:pt idx="2">
                  <c:v>759</c:v>
                </c:pt>
                <c:pt idx="3">
                  <c:v>784</c:v>
                </c:pt>
                <c:pt idx="4">
                  <c:v>797</c:v>
                </c:pt>
                <c:pt idx="5">
                  <c:v>805</c:v>
                </c:pt>
                <c:pt idx="6">
                  <c:v>812</c:v>
                </c:pt>
                <c:pt idx="7">
                  <c:v>819</c:v>
                </c:pt>
                <c:pt idx="8">
                  <c:v>826</c:v>
                </c:pt>
                <c:pt idx="9">
                  <c:v>839</c:v>
                </c:pt>
                <c:pt idx="10">
                  <c:v>845</c:v>
                </c:pt>
                <c:pt idx="11">
                  <c:v>851</c:v>
                </c:pt>
                <c:pt idx="12">
                  <c:v>857</c:v>
                </c:pt>
                <c:pt idx="13">
                  <c:v>863</c:v>
                </c:pt>
                <c:pt idx="14">
                  <c:v>868</c:v>
                </c:pt>
                <c:pt idx="15">
                  <c:v>875</c:v>
                </c:pt>
                <c:pt idx="16">
                  <c:v>880</c:v>
                </c:pt>
                <c:pt idx="17">
                  <c:v>886</c:v>
                </c:pt>
                <c:pt idx="18">
                  <c:v>891</c:v>
                </c:pt>
                <c:pt idx="19">
                  <c:v>897</c:v>
                </c:pt>
                <c:pt idx="20">
                  <c:v>903</c:v>
                </c:pt>
                <c:pt idx="21">
                  <c:v>909</c:v>
                </c:pt>
                <c:pt idx="22">
                  <c:v>915</c:v>
                </c:pt>
                <c:pt idx="23">
                  <c:v>922</c:v>
                </c:pt>
                <c:pt idx="24">
                  <c:v>931</c:v>
                </c:pt>
                <c:pt idx="25">
                  <c:v>940</c:v>
                </c:pt>
                <c:pt idx="26">
                  <c:v>952</c:v>
                </c:pt>
                <c:pt idx="27">
                  <c:v>966</c:v>
                </c:pt>
                <c:pt idx="28">
                  <c:v>983</c:v>
                </c:pt>
                <c:pt idx="29">
                  <c:v>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B-4860-BB5F-A27AD199156E}"/>
            </c:ext>
          </c:extLst>
        </c:ser>
        <c:ser>
          <c:idx val="1"/>
          <c:order val="1"/>
          <c:tx>
            <c:strRef>
              <c:f>Tutorial!$D$1</c:f>
              <c:strCache>
                <c:ptCount val="1"/>
                <c:pt idx="0">
                  <c:v>tdp/dt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Tutorial!$A$2:$A$45</c:f>
              <c:numCache>
                <c:formatCode>General</c:formatCode>
                <c:ptCount val="44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Tutorial!$D$2:$D$45</c:f>
              <c:numCache>
                <c:formatCode>General</c:formatCode>
                <c:ptCount val="44"/>
                <c:pt idx="1">
                  <c:v>600</c:v>
                </c:pt>
                <c:pt idx="2">
                  <c:v>644.76470588235316</c:v>
                </c:pt>
                <c:pt idx="3">
                  <c:v>150.98823529411763</c:v>
                </c:pt>
                <c:pt idx="4">
                  <c:v>82.172131147540995</c:v>
                </c:pt>
                <c:pt idx="5">
                  <c:v>77.358024691357983</c:v>
                </c:pt>
                <c:pt idx="6">
                  <c:v>48.166666666666671</c:v>
                </c:pt>
                <c:pt idx="7">
                  <c:v>41.879310344827587</c:v>
                </c:pt>
                <c:pt idx="8">
                  <c:v>42.20289855072464</c:v>
                </c:pt>
                <c:pt idx="9">
                  <c:v>41.874251497005993</c:v>
                </c:pt>
                <c:pt idx="10">
                  <c:v>42.448979591836739</c:v>
                </c:pt>
                <c:pt idx="11">
                  <c:v>35.793103448275865</c:v>
                </c:pt>
                <c:pt idx="12">
                  <c:v>36.529411764705891</c:v>
                </c:pt>
                <c:pt idx="13">
                  <c:v>35.571428571428569</c:v>
                </c:pt>
                <c:pt idx="14">
                  <c:v>36.489795918367335</c:v>
                </c:pt>
                <c:pt idx="15">
                  <c:v>29.83333333333335</c:v>
                </c:pt>
                <c:pt idx="16">
                  <c:v>41.805555555555536</c:v>
                </c:pt>
                <c:pt idx="17">
                  <c:v>30.294117647058822</c:v>
                </c:pt>
                <c:pt idx="18">
                  <c:v>36.000000000000007</c:v>
                </c:pt>
                <c:pt idx="19">
                  <c:v>29.919354838709662</c:v>
                </c:pt>
                <c:pt idx="20">
                  <c:v>35.879194630872497</c:v>
                </c:pt>
                <c:pt idx="21">
                  <c:v>35.865921787709489</c:v>
                </c:pt>
                <c:pt idx="22">
                  <c:v>36.571428571428569</c:v>
                </c:pt>
                <c:pt idx="23">
                  <c:v>35.53846153846154</c:v>
                </c:pt>
                <c:pt idx="24">
                  <c:v>41.774193548387096</c:v>
                </c:pt>
                <c:pt idx="25">
                  <c:v>54</c:v>
                </c:pt>
                <c:pt idx="26">
                  <c:v>54.409090909090907</c:v>
                </c:pt>
                <c:pt idx="27">
                  <c:v>72.226415094339629</c:v>
                </c:pt>
                <c:pt idx="28">
                  <c:v>83.78125</c:v>
                </c:pt>
                <c:pt idx="29">
                  <c:v>101.55844155844156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BB-4860-BB5F-A27AD199156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Tutorial!$A$2:$A$31</c:f>
              <c:numCache>
                <c:formatCode>General</c:formatCode>
                <c:ptCount val="30"/>
                <c:pt idx="0">
                  <c:v>0</c:v>
                </c:pt>
                <c:pt idx="1">
                  <c:v>1.6</c:v>
                </c:pt>
                <c:pt idx="2">
                  <c:v>1.94</c:v>
                </c:pt>
                <c:pt idx="3">
                  <c:v>2.79</c:v>
                </c:pt>
                <c:pt idx="4">
                  <c:v>4.01</c:v>
                </c:pt>
                <c:pt idx="5">
                  <c:v>4.82</c:v>
                </c:pt>
                <c:pt idx="6">
                  <c:v>5.78</c:v>
                </c:pt>
                <c:pt idx="7">
                  <c:v>6.94</c:v>
                </c:pt>
                <c:pt idx="8">
                  <c:v>8.32</c:v>
                </c:pt>
                <c:pt idx="9">
                  <c:v>9.99</c:v>
                </c:pt>
                <c:pt idx="10">
                  <c:v>14.4</c:v>
                </c:pt>
                <c:pt idx="11">
                  <c:v>17.3</c:v>
                </c:pt>
                <c:pt idx="12">
                  <c:v>20.7</c:v>
                </c:pt>
                <c:pt idx="13">
                  <c:v>24.9</c:v>
                </c:pt>
                <c:pt idx="14">
                  <c:v>29.8</c:v>
                </c:pt>
                <c:pt idx="15">
                  <c:v>35.799999999999997</c:v>
                </c:pt>
                <c:pt idx="16">
                  <c:v>43</c:v>
                </c:pt>
                <c:pt idx="17">
                  <c:v>51.5</c:v>
                </c:pt>
                <c:pt idx="18">
                  <c:v>61.8</c:v>
                </c:pt>
                <c:pt idx="19">
                  <c:v>74.2</c:v>
                </c:pt>
                <c:pt idx="20">
                  <c:v>89.1</c:v>
                </c:pt>
                <c:pt idx="21">
                  <c:v>107</c:v>
                </c:pt>
                <c:pt idx="22">
                  <c:v>128</c:v>
                </c:pt>
                <c:pt idx="23">
                  <c:v>154</c:v>
                </c:pt>
                <c:pt idx="24">
                  <c:v>185</c:v>
                </c:pt>
                <c:pt idx="25">
                  <c:v>222</c:v>
                </c:pt>
                <c:pt idx="26">
                  <c:v>266</c:v>
                </c:pt>
                <c:pt idx="27">
                  <c:v>319</c:v>
                </c:pt>
                <c:pt idx="28">
                  <c:v>383</c:v>
                </c:pt>
                <c:pt idx="29">
                  <c:v>460</c:v>
                </c:pt>
              </c:numCache>
            </c:numRef>
          </c:xVal>
          <c:yVal>
            <c:numRef>
              <c:f>Tutorial!$L$2:$L$31</c:f>
              <c:numCache>
                <c:formatCode>General</c:formatCode>
                <c:ptCount val="30"/>
                <c:pt idx="0">
                  <c:v>0</c:v>
                </c:pt>
                <c:pt idx="1">
                  <c:v>0.35200000000000004</c:v>
                </c:pt>
                <c:pt idx="2">
                  <c:v>0.42680000000000001</c:v>
                </c:pt>
                <c:pt idx="3">
                  <c:v>0.61380000000000001</c:v>
                </c:pt>
                <c:pt idx="4">
                  <c:v>0.88219999999999998</c:v>
                </c:pt>
                <c:pt idx="5">
                  <c:v>1.0604</c:v>
                </c:pt>
                <c:pt idx="6">
                  <c:v>1.2716000000000001</c:v>
                </c:pt>
                <c:pt idx="7">
                  <c:v>1.5268000000000002</c:v>
                </c:pt>
                <c:pt idx="8">
                  <c:v>1.8304</c:v>
                </c:pt>
                <c:pt idx="9">
                  <c:v>2.1978</c:v>
                </c:pt>
                <c:pt idx="10">
                  <c:v>3.1680000000000001</c:v>
                </c:pt>
                <c:pt idx="11">
                  <c:v>3.806</c:v>
                </c:pt>
                <c:pt idx="12">
                  <c:v>4.5540000000000003</c:v>
                </c:pt>
                <c:pt idx="13">
                  <c:v>5.4779999999999998</c:v>
                </c:pt>
                <c:pt idx="14">
                  <c:v>6.556</c:v>
                </c:pt>
                <c:pt idx="15">
                  <c:v>7.8759999999999994</c:v>
                </c:pt>
                <c:pt idx="16">
                  <c:v>9.4600000000000009</c:v>
                </c:pt>
                <c:pt idx="17">
                  <c:v>11.33</c:v>
                </c:pt>
                <c:pt idx="18">
                  <c:v>13.596</c:v>
                </c:pt>
                <c:pt idx="19">
                  <c:v>16.324000000000002</c:v>
                </c:pt>
                <c:pt idx="20">
                  <c:v>19.602</c:v>
                </c:pt>
                <c:pt idx="21">
                  <c:v>23.54</c:v>
                </c:pt>
                <c:pt idx="22">
                  <c:v>28.16</c:v>
                </c:pt>
                <c:pt idx="23">
                  <c:v>33.880000000000003</c:v>
                </c:pt>
                <c:pt idx="24">
                  <c:v>40.700000000000003</c:v>
                </c:pt>
                <c:pt idx="25">
                  <c:v>48.84</c:v>
                </c:pt>
                <c:pt idx="26">
                  <c:v>58.52</c:v>
                </c:pt>
                <c:pt idx="27">
                  <c:v>70.180000000000007</c:v>
                </c:pt>
                <c:pt idx="28">
                  <c:v>84.26</c:v>
                </c:pt>
                <c:pt idx="29">
                  <c:v>101.2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BB-4860-BB5F-A27AD1991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587504"/>
        <c:axId val="1656587984"/>
      </c:scatterChart>
      <c:valAx>
        <c:axId val="165658750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87984"/>
        <c:crosses val="autoZero"/>
        <c:crossBetween val="midCat"/>
      </c:valAx>
      <c:valAx>
        <c:axId val="16565879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58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91965</xdr:colOff>
      <xdr:row>1</xdr:row>
      <xdr:rowOff>85725</xdr:rowOff>
    </xdr:from>
    <xdr:to>
      <xdr:col>29</xdr:col>
      <xdr:colOff>210207</xdr:colOff>
      <xdr:row>19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58448" y="269656"/>
          <a:ext cx="6161690" cy="34060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A drawdown test is perfomed in a well located in an estimated drainage area of</a:t>
          </a:r>
          <a:r>
            <a:rPr lang="en-IN" sz="1200" baseline="0"/>
            <a:t> of 151 acres. During the test, the well was produced at a stabilized rate of 250 stb/d for a period of 460 hrs. The initial reservoir pressure was 4412 psia. The recorded flowing bottomhole pressure versus time is given. </a:t>
          </a:r>
        </a:p>
        <a:p>
          <a:endParaRPr lang="en-IN" sz="1200" baseline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𝐹𝑜𝑟𝑚𝑎𝑡𝑖𝑜𝑛 𝑡ℎ𝑖𝑐𝑘𝑛𝑒𝑠𝑠=69 𝑓𝑡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𝑃𝑜𝑟𝑜𝑠𝑖𝑡𝑦=3.9%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𝑇𝑜𝑡𝑎𝑙 𝐶𝑜𝑚𝑝𝑟𝑒𝑠𝑠𝑖𝑏𝑖𝑙𝑖𝑡𝑦=17∗〖10〗^(−6)  〖𝑝𝑠𝑖〗^(−1)</a:t>
          </a:r>
          <a:endParaRPr lang="en-IN" sz="120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𝑓𝑜𝑟𝑚𝑎𝑡𝑖𝑜𝑛 𝑣𝑜𝑙𝑢𝑚𝑒 𝑓𝑎𝑐𝑡𝑜𝑟=1.136 𝑠𝑡𝑏/𝑑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𝑂𝑖𝑙 𝑣𝑖𝑠𝑐𝑜𝑠𝑖𝑡𝑦=0.8 𝑐𝑝</a:t>
          </a:r>
          <a:endParaRPr lang="en-IN" sz="1200" b="0"/>
        </a:p>
        <a:p>
          <a:pPr algn="l"/>
          <a:r>
            <a:rPr lang="en-IN" sz="1200" b="0" i="0">
              <a:latin typeface="Cambria Math" panose="02040503050406030204" pitchFamily="18" charset="0"/>
            </a:rPr>
            <a:t>𝑊𝑒𝑙𝑙𝑏𝑜𝑟𝑒 𝑟𝑎𝑑𝑖𝑢𝑠=0.198 𝑓𝑡</a:t>
          </a:r>
          <a:endParaRPr lang="en-IN" sz="1200" b="0"/>
        </a:p>
        <a:p>
          <a:endParaRPr lang="en-IN" sz="1200"/>
        </a:p>
        <a:p>
          <a:r>
            <a:rPr lang="en-IN" sz="1200"/>
            <a:t>Interpret the drawdown test.</a:t>
          </a:r>
        </a:p>
      </xdr:txBody>
    </xdr:sp>
    <xdr:clientData/>
  </xdr:twoCellAnchor>
  <xdr:twoCellAnchor>
    <xdr:from>
      <xdr:col>5</xdr:col>
      <xdr:colOff>480060</xdr:colOff>
      <xdr:row>20</xdr:row>
      <xdr:rowOff>160020</xdr:rowOff>
    </xdr:from>
    <xdr:to>
      <xdr:col>14</xdr:col>
      <xdr:colOff>495300</xdr:colOff>
      <xdr:row>39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AAAB0-BE3C-CF71-58CA-21A6AC3B7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466397</xdr:colOff>
      <xdr:row>41</xdr:row>
      <xdr:rowOff>1</xdr:rowOff>
    </xdr:from>
    <xdr:to>
      <xdr:col>14</xdr:col>
      <xdr:colOff>499241</xdr:colOff>
      <xdr:row>58</xdr:row>
      <xdr:rowOff>70944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0B3A23-4CDF-CC6B-BF54-1DF2345F0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394138</xdr:colOff>
      <xdr:row>20</xdr:row>
      <xdr:rowOff>165537</xdr:rowOff>
    </xdr:from>
    <xdr:to>
      <xdr:col>24</xdr:col>
      <xdr:colOff>39414</xdr:colOff>
      <xdr:row>39</xdr:row>
      <xdr:rowOff>131379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9E4B5B-F8E0-E63D-7B94-B9F35F298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topLeftCell="C1" zoomScale="79" zoomScaleNormal="58" workbookViewId="0">
      <selection activeCell="P17" sqref="P17"/>
    </sheetView>
  </sheetViews>
  <sheetFormatPr defaultRowHeight="14.4" x14ac:dyDescent="0.3"/>
  <cols>
    <col min="5" max="5" width="11.44140625" bestFit="1" customWidth="1"/>
  </cols>
  <sheetData>
    <row r="1" spans="1:12" x14ac:dyDescent="0.3">
      <c r="A1" t="s">
        <v>0</v>
      </c>
      <c r="B1" t="s">
        <v>1</v>
      </c>
      <c r="C1" t="s">
        <v>8</v>
      </c>
      <c r="D1" t="s">
        <v>9</v>
      </c>
      <c r="I1" t="s">
        <v>10</v>
      </c>
      <c r="J1">
        <v>0.22</v>
      </c>
      <c r="K1" t="s">
        <v>15</v>
      </c>
      <c r="L1" t="s">
        <v>14</v>
      </c>
    </row>
    <row r="2" spans="1:12" x14ac:dyDescent="0.3">
      <c r="A2">
        <v>0</v>
      </c>
      <c r="B2">
        <v>4412</v>
      </c>
      <c r="C2">
        <f>$B$2-B3</f>
        <v>600</v>
      </c>
      <c r="I2" t="s">
        <v>7</v>
      </c>
      <c r="J2">
        <f>0.2339*250*1.136*1000000/(0.039*17*69*0.22)/43560</f>
        <v>151.52189417511789</v>
      </c>
      <c r="L2" cm="1">
        <f t="array" ref="L2:L31">J1*(A2:A31)^1</f>
        <v>0</v>
      </c>
    </row>
    <row r="3" spans="1:12" x14ac:dyDescent="0.3">
      <c r="A3">
        <v>1.6</v>
      </c>
      <c r="B3">
        <v>3812</v>
      </c>
      <c r="C3">
        <f t="shared" ref="C3:C31" si="0">$B$2-B4</f>
        <v>713</v>
      </c>
      <c r="D3">
        <f>A3*(B2-B3)/(A3-A2)</f>
        <v>600</v>
      </c>
      <c r="L3">
        <v>0.35200000000000004</v>
      </c>
    </row>
    <row r="4" spans="1:12" x14ac:dyDescent="0.3">
      <c r="A4">
        <v>1.94</v>
      </c>
      <c r="B4">
        <v>3699</v>
      </c>
      <c r="C4">
        <f t="shared" si="0"/>
        <v>759</v>
      </c>
      <c r="D4">
        <f t="shared" ref="D4:D31" si="1">A4*(B3-B4)/(A4-A3)</f>
        <v>644.76470588235316</v>
      </c>
      <c r="L4">
        <v>0.42680000000000001</v>
      </c>
    </row>
    <row r="5" spans="1:12" x14ac:dyDescent="0.3">
      <c r="A5">
        <v>2.79</v>
      </c>
      <c r="B5">
        <v>3653</v>
      </c>
      <c r="C5">
        <f t="shared" si="0"/>
        <v>784</v>
      </c>
      <c r="D5">
        <f t="shared" si="1"/>
        <v>150.98823529411763</v>
      </c>
      <c r="G5">
        <f>70.6*250*0.8*1.136/(2.303*1.3161*69)</f>
        <v>76.697482722691021</v>
      </c>
      <c r="L5">
        <v>0.61380000000000001</v>
      </c>
    </row>
    <row r="6" spans="1:12" x14ac:dyDescent="0.3">
      <c r="A6">
        <v>4.01</v>
      </c>
      <c r="B6">
        <v>3628</v>
      </c>
      <c r="C6">
        <f t="shared" si="0"/>
        <v>797</v>
      </c>
      <c r="D6">
        <f t="shared" si="1"/>
        <v>82.172131147540995</v>
      </c>
      <c r="L6">
        <v>0.88219999999999998</v>
      </c>
    </row>
    <row r="7" spans="1:12" x14ac:dyDescent="0.3">
      <c r="A7">
        <v>4.82</v>
      </c>
      <c r="B7">
        <v>3615</v>
      </c>
      <c r="C7">
        <f t="shared" si="0"/>
        <v>805</v>
      </c>
      <c r="D7">
        <f t="shared" si="1"/>
        <v>77.358024691357983</v>
      </c>
      <c r="L7">
        <v>1.0604</v>
      </c>
    </row>
    <row r="8" spans="1:12" x14ac:dyDescent="0.3">
      <c r="A8">
        <v>5.78</v>
      </c>
      <c r="B8">
        <v>3607</v>
      </c>
      <c r="C8">
        <f t="shared" si="0"/>
        <v>812</v>
      </c>
      <c r="D8">
        <f t="shared" si="1"/>
        <v>48.166666666666671</v>
      </c>
      <c r="L8">
        <v>1.2716000000000001</v>
      </c>
    </row>
    <row r="9" spans="1:12" x14ac:dyDescent="0.3">
      <c r="A9">
        <v>6.94</v>
      </c>
      <c r="B9">
        <v>3600</v>
      </c>
      <c r="C9">
        <f t="shared" si="0"/>
        <v>819</v>
      </c>
      <c r="D9">
        <f t="shared" si="1"/>
        <v>41.879310344827587</v>
      </c>
      <c r="L9">
        <v>1.5268000000000002</v>
      </c>
    </row>
    <row r="10" spans="1:12" x14ac:dyDescent="0.3">
      <c r="A10">
        <v>8.32</v>
      </c>
      <c r="B10">
        <v>3593</v>
      </c>
      <c r="C10">
        <f t="shared" si="0"/>
        <v>826</v>
      </c>
      <c r="D10">
        <f t="shared" si="1"/>
        <v>42.20289855072464</v>
      </c>
      <c r="L10">
        <v>1.8304</v>
      </c>
    </row>
    <row r="11" spans="1:12" x14ac:dyDescent="0.3">
      <c r="A11">
        <v>9.99</v>
      </c>
      <c r="B11">
        <v>3586</v>
      </c>
      <c r="C11">
        <f t="shared" si="0"/>
        <v>839</v>
      </c>
      <c r="D11">
        <f t="shared" si="1"/>
        <v>41.874251497005993</v>
      </c>
      <c r="L11">
        <v>2.1978</v>
      </c>
    </row>
    <row r="12" spans="1:12" x14ac:dyDescent="0.3">
      <c r="A12">
        <v>14.4</v>
      </c>
      <c r="B12">
        <v>3573</v>
      </c>
      <c r="C12">
        <f t="shared" si="0"/>
        <v>845</v>
      </c>
      <c r="D12">
        <f t="shared" si="1"/>
        <v>42.448979591836739</v>
      </c>
      <c r="L12">
        <v>3.1680000000000001</v>
      </c>
    </row>
    <row r="13" spans="1:12" x14ac:dyDescent="0.3">
      <c r="A13">
        <v>17.3</v>
      </c>
      <c r="B13">
        <v>3567</v>
      </c>
      <c r="C13">
        <f t="shared" si="0"/>
        <v>851</v>
      </c>
      <c r="D13">
        <f t="shared" si="1"/>
        <v>35.793103448275865</v>
      </c>
      <c r="L13">
        <v>3.806</v>
      </c>
    </row>
    <row r="14" spans="1:12" x14ac:dyDescent="0.3">
      <c r="A14">
        <v>20.7</v>
      </c>
      <c r="B14">
        <v>3561</v>
      </c>
      <c r="C14">
        <f t="shared" si="0"/>
        <v>857</v>
      </c>
      <c r="D14">
        <f t="shared" si="1"/>
        <v>36.529411764705891</v>
      </c>
      <c r="L14">
        <v>4.5540000000000003</v>
      </c>
    </row>
    <row r="15" spans="1:12" x14ac:dyDescent="0.3">
      <c r="A15">
        <v>24.9</v>
      </c>
      <c r="B15">
        <v>3555</v>
      </c>
      <c r="C15">
        <f t="shared" si="0"/>
        <v>863</v>
      </c>
      <c r="D15">
        <f t="shared" si="1"/>
        <v>35.571428571428569</v>
      </c>
      <c r="L15">
        <v>5.4779999999999998</v>
      </c>
    </row>
    <row r="16" spans="1:12" x14ac:dyDescent="0.3">
      <c r="A16">
        <v>29.8</v>
      </c>
      <c r="B16">
        <v>3549</v>
      </c>
      <c r="C16">
        <f t="shared" si="0"/>
        <v>868</v>
      </c>
      <c r="D16">
        <f t="shared" si="1"/>
        <v>36.489795918367335</v>
      </c>
      <c r="L16">
        <v>6.556</v>
      </c>
    </row>
    <row r="17" spans="1:26" x14ac:dyDescent="0.3">
      <c r="A17">
        <v>35.799999999999997</v>
      </c>
      <c r="B17">
        <v>3544</v>
      </c>
      <c r="C17">
        <f t="shared" si="0"/>
        <v>875</v>
      </c>
      <c r="D17">
        <f t="shared" si="1"/>
        <v>29.83333333333335</v>
      </c>
      <c r="L17">
        <v>7.8759999999999994</v>
      </c>
    </row>
    <row r="18" spans="1:26" x14ac:dyDescent="0.3">
      <c r="A18">
        <v>43</v>
      </c>
      <c r="B18">
        <v>3537</v>
      </c>
      <c r="C18">
        <f t="shared" si="0"/>
        <v>880</v>
      </c>
      <c r="D18">
        <f>A18*(B17-B18)/(A18-A17)</f>
        <v>41.805555555555536</v>
      </c>
      <c r="G18" s="1" t="s">
        <v>2</v>
      </c>
      <c r="L18">
        <v>9.4600000000000009</v>
      </c>
    </row>
    <row r="19" spans="1:26" x14ac:dyDescent="0.3">
      <c r="A19">
        <v>51.5</v>
      </c>
      <c r="B19">
        <v>3532</v>
      </c>
      <c r="C19">
        <f t="shared" si="0"/>
        <v>886</v>
      </c>
      <c r="D19">
        <f t="shared" si="1"/>
        <v>30.294117647058822</v>
      </c>
      <c r="E19" s="1"/>
      <c r="F19" t="s">
        <v>3</v>
      </c>
      <c r="G19">
        <f>162.6*250*0.8*1.136/(2.303*1.3161*69)</f>
        <v>176.64321091656601</v>
      </c>
      <c r="L19">
        <v>11.33</v>
      </c>
    </row>
    <row r="20" spans="1:26" x14ac:dyDescent="0.3">
      <c r="A20">
        <v>61.8</v>
      </c>
      <c r="B20">
        <v>3526</v>
      </c>
      <c r="C20">
        <f t="shared" si="0"/>
        <v>891</v>
      </c>
      <c r="D20">
        <f t="shared" si="1"/>
        <v>36.000000000000007</v>
      </c>
      <c r="F20" t="s">
        <v>4</v>
      </c>
      <c r="L20">
        <v>13.596</v>
      </c>
    </row>
    <row r="21" spans="1:26" x14ac:dyDescent="0.3">
      <c r="A21">
        <v>74.2</v>
      </c>
      <c r="B21">
        <v>3521</v>
      </c>
      <c r="C21">
        <f t="shared" si="0"/>
        <v>897</v>
      </c>
      <c r="D21">
        <f t="shared" si="1"/>
        <v>29.919354838709662</v>
      </c>
      <c r="L21">
        <v>16.324000000000002</v>
      </c>
    </row>
    <row r="22" spans="1:26" x14ac:dyDescent="0.3">
      <c r="A22">
        <v>89.1</v>
      </c>
      <c r="B22">
        <v>3515</v>
      </c>
      <c r="C22">
        <f t="shared" si="0"/>
        <v>903</v>
      </c>
      <c r="D22">
        <f t="shared" si="1"/>
        <v>35.879194630872497</v>
      </c>
      <c r="L22">
        <v>19.602</v>
      </c>
    </row>
    <row r="23" spans="1:26" x14ac:dyDescent="0.3">
      <c r="A23">
        <v>107</v>
      </c>
      <c r="B23">
        <v>3509</v>
      </c>
      <c r="C23">
        <f t="shared" si="0"/>
        <v>909</v>
      </c>
      <c r="D23">
        <f t="shared" si="1"/>
        <v>35.865921787709489</v>
      </c>
      <c r="L23">
        <v>23.54</v>
      </c>
    </row>
    <row r="24" spans="1:26" x14ac:dyDescent="0.3">
      <c r="A24">
        <v>128</v>
      </c>
      <c r="B24">
        <v>3503</v>
      </c>
      <c r="C24">
        <f t="shared" si="0"/>
        <v>915</v>
      </c>
      <c r="D24">
        <f t="shared" si="1"/>
        <v>36.571428571428569</v>
      </c>
      <c r="L24">
        <v>28.16</v>
      </c>
    </row>
    <row r="25" spans="1:26" x14ac:dyDescent="0.3">
      <c r="A25">
        <v>154</v>
      </c>
      <c r="B25">
        <v>3497</v>
      </c>
      <c r="C25">
        <f t="shared" si="0"/>
        <v>922</v>
      </c>
      <c r="D25">
        <f t="shared" si="1"/>
        <v>35.53846153846154</v>
      </c>
      <c r="L25">
        <v>33.880000000000003</v>
      </c>
    </row>
    <row r="26" spans="1:26" x14ac:dyDescent="0.3">
      <c r="A26">
        <v>185</v>
      </c>
      <c r="B26">
        <v>3490</v>
      </c>
      <c r="C26">
        <f t="shared" si="0"/>
        <v>931</v>
      </c>
      <c r="D26">
        <f t="shared" si="1"/>
        <v>41.774193548387096</v>
      </c>
      <c r="L26">
        <v>40.700000000000003</v>
      </c>
      <c r="Z26" t="s">
        <v>11</v>
      </c>
    </row>
    <row r="27" spans="1:26" x14ac:dyDescent="0.3">
      <c r="A27">
        <v>222</v>
      </c>
      <c r="B27">
        <v>3481</v>
      </c>
      <c r="C27">
        <f t="shared" si="0"/>
        <v>940</v>
      </c>
      <c r="D27">
        <f t="shared" si="1"/>
        <v>54</v>
      </c>
      <c r="L27">
        <v>48.84</v>
      </c>
      <c r="Z27" t="s">
        <v>12</v>
      </c>
    </row>
    <row r="28" spans="1:26" x14ac:dyDescent="0.3">
      <c r="A28">
        <v>266</v>
      </c>
      <c r="B28">
        <v>3472</v>
      </c>
      <c r="C28">
        <f t="shared" si="0"/>
        <v>952</v>
      </c>
      <c r="D28">
        <f t="shared" si="1"/>
        <v>54.409090909090907</v>
      </c>
      <c r="L28">
        <v>58.52</v>
      </c>
      <c r="Z28" t="s">
        <v>13</v>
      </c>
    </row>
    <row r="29" spans="1:26" x14ac:dyDescent="0.3">
      <c r="A29">
        <v>319</v>
      </c>
      <c r="B29">
        <v>3460</v>
      </c>
      <c r="C29">
        <f t="shared" si="0"/>
        <v>966</v>
      </c>
      <c r="D29">
        <f t="shared" si="1"/>
        <v>72.226415094339629</v>
      </c>
      <c r="L29">
        <v>70.180000000000007</v>
      </c>
    </row>
    <row r="30" spans="1:26" x14ac:dyDescent="0.3">
      <c r="A30">
        <v>383</v>
      </c>
      <c r="B30">
        <v>3446</v>
      </c>
      <c r="C30">
        <f t="shared" si="0"/>
        <v>983</v>
      </c>
      <c r="D30">
        <f t="shared" si="1"/>
        <v>83.78125</v>
      </c>
      <c r="L30">
        <v>84.26</v>
      </c>
    </row>
    <row r="31" spans="1:26" x14ac:dyDescent="0.3">
      <c r="A31">
        <v>460</v>
      </c>
      <c r="B31">
        <v>3429</v>
      </c>
      <c r="C31">
        <f t="shared" si="0"/>
        <v>4412</v>
      </c>
      <c r="D31">
        <f t="shared" si="1"/>
        <v>101.55844155844156</v>
      </c>
      <c r="L31">
        <v>101.2</v>
      </c>
    </row>
    <row r="42" spans="4:5" x14ac:dyDescent="0.3">
      <c r="D42" s="1" t="s">
        <v>5</v>
      </c>
    </row>
    <row r="44" spans="4:5" x14ac:dyDescent="0.3">
      <c r="D44" t="s">
        <v>6</v>
      </c>
    </row>
    <row r="45" spans="4:5" x14ac:dyDescent="0.3">
      <c r="D45" t="s">
        <v>7</v>
      </c>
      <c r="E45">
        <f>0.2339*250*1.136*1000000/(0.039*17*69*0.2213)/43560</f>
        <v>150.63179719171231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Priyanshu Kumar</cp:lastModifiedBy>
  <dcterms:created xsi:type="dcterms:W3CDTF">2017-11-20T07:16:32Z</dcterms:created>
  <dcterms:modified xsi:type="dcterms:W3CDTF">2025-09-02T05:13:29Z</dcterms:modified>
</cp:coreProperties>
</file>