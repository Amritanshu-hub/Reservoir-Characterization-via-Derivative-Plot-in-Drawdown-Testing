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filterPrivacy="1" defaultThemeVersion="124226"/>
  <xr:revisionPtr revIDLastSave="0" documentId="8_{5EFD455C-FD3C-4168-8175-0CDFA7C7D6D4}" xr6:coauthVersionLast="47" xr6:coauthVersionMax="47" xr10:uidLastSave="{00000000-0000-0000-0000-000000000000}"/>
  <bookViews>
    <workbookView xWindow="-108" yWindow="-108" windowWidth="23256" windowHeight="12456" xr2:uid="{FB81DCB1-F0DB-46BC-9C14-781EA05C011D}"/>
  </bookViews>
  <sheets>
    <sheet name="Quest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59" i="1" l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2" i="1"/>
  <c r="D3" i="1"/>
  <c r="L20" i="1"/>
  <c r="L35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2" i="1"/>
</calcChain>
</file>

<file path=xl/sharedStrings.xml><?xml version="1.0" encoding="utf-8"?>
<sst xmlns="http://schemas.openxmlformats.org/spreadsheetml/2006/main" count="15" uniqueCount="15">
  <si>
    <t>t</t>
  </si>
  <si>
    <t>FBHP (psia)</t>
  </si>
  <si>
    <t>t^0.5</t>
  </si>
  <si>
    <t>y = -168.17x + 4994.9</t>
  </si>
  <si>
    <t>xf</t>
  </si>
  <si>
    <t>y = -105.3ln(x) + 4898.4</t>
  </si>
  <si>
    <t>k</t>
  </si>
  <si>
    <t>DELTA P</t>
  </si>
  <si>
    <t>delP</t>
  </si>
  <si>
    <t>y=ax^b</t>
  </si>
  <si>
    <t>P=at^b</t>
  </si>
  <si>
    <t>b</t>
  </si>
  <si>
    <t>a</t>
  </si>
  <si>
    <t>a=100</t>
  </si>
  <si>
    <t>y = 0.044x + 111.51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</si>
</sst>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9"/>
      <color rgb="FF595959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center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1"/>
          <c:order val="0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0.28283175732960253"/>
                  <c:y val="-5.3968033962951842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Question!$C$6:$C$22</c:f>
              <c:numCache>
                <c:formatCode>General</c:formatCode>
                <c:ptCount val="17"/>
                <c:pt idx="0">
                  <c:v>0.13152946437965904</c:v>
                </c:pt>
                <c:pt idx="1">
                  <c:v>0.14456832294800959</c:v>
                </c:pt>
                <c:pt idx="2">
                  <c:v>0.15874507866387544</c:v>
                </c:pt>
                <c:pt idx="3">
                  <c:v>0.17549928774784243</c:v>
                </c:pt>
                <c:pt idx="4">
                  <c:v>0.19183326093250877</c:v>
                </c:pt>
                <c:pt idx="5">
                  <c:v>0.20880613017821101</c:v>
                </c:pt>
                <c:pt idx="6">
                  <c:v>0.2293468988235943</c:v>
                </c:pt>
                <c:pt idx="7">
                  <c:v>0.25179356624028343</c:v>
                </c:pt>
                <c:pt idx="8">
                  <c:v>0.27459060435491961</c:v>
                </c:pt>
                <c:pt idx="9">
                  <c:v>0.30166206257996714</c:v>
                </c:pt>
                <c:pt idx="10">
                  <c:v>0.33166247903553997</c:v>
                </c:pt>
                <c:pt idx="11">
                  <c:v>0.36331804249169902</c:v>
                </c:pt>
                <c:pt idx="12">
                  <c:v>0.39874804074753772</c:v>
                </c:pt>
                <c:pt idx="13">
                  <c:v>0.43588989435406733</c:v>
                </c:pt>
                <c:pt idx="14">
                  <c:v>0.47853944456021597</c:v>
                </c:pt>
                <c:pt idx="15">
                  <c:v>0.52535702146254792</c:v>
                </c:pt>
                <c:pt idx="16">
                  <c:v>0.57619441163551732</c:v>
                </c:pt>
              </c:numCache>
            </c:numRef>
          </c:xVal>
          <c:yVal>
            <c:numRef>
              <c:f>Question!$B$6:$B$22</c:f>
              <c:numCache>
                <c:formatCode>General</c:formatCode>
                <c:ptCount val="17"/>
                <c:pt idx="0">
                  <c:v>4974.24</c:v>
                </c:pt>
                <c:pt idx="1">
                  <c:v>4971.9799999999996</c:v>
                </c:pt>
                <c:pt idx="2">
                  <c:v>4969.2</c:v>
                </c:pt>
                <c:pt idx="3">
                  <c:v>4966.1400000000003</c:v>
                </c:pt>
                <c:pt idx="4">
                  <c:v>4963.17</c:v>
                </c:pt>
                <c:pt idx="5">
                  <c:v>4959.5200000000004</c:v>
                </c:pt>
                <c:pt idx="6">
                  <c:v>4955.96</c:v>
                </c:pt>
                <c:pt idx="7">
                  <c:v>4951.59</c:v>
                </c:pt>
                <c:pt idx="8">
                  <c:v>4947.3500000000004</c:v>
                </c:pt>
                <c:pt idx="9">
                  <c:v>4942.72</c:v>
                </c:pt>
                <c:pt idx="10">
                  <c:v>4937.66</c:v>
                </c:pt>
                <c:pt idx="11">
                  <c:v>4932.2299999999996</c:v>
                </c:pt>
                <c:pt idx="12">
                  <c:v>4927.05</c:v>
                </c:pt>
                <c:pt idx="13">
                  <c:v>4921.4799999999996</c:v>
                </c:pt>
                <c:pt idx="14">
                  <c:v>4915.49</c:v>
                </c:pt>
                <c:pt idx="15">
                  <c:v>4907.1000000000004</c:v>
                </c:pt>
                <c:pt idx="16">
                  <c:v>4900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480-4C8D-B5F7-8F9C061AD0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29915408"/>
        <c:axId val="1029916368"/>
      </c:scatterChart>
      <c:valAx>
        <c:axId val="10299154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9916368"/>
        <c:crosses val="autoZero"/>
        <c:crossBetween val="midCat"/>
      </c:valAx>
      <c:valAx>
        <c:axId val="10299163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99154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Question!$A$2:$A$53</c:f>
              <c:numCache>
                <c:formatCode>General</c:formatCode>
                <c:ptCount val="52"/>
                <c:pt idx="0">
                  <c:v>0</c:v>
                </c:pt>
                <c:pt idx="1">
                  <c:v>1.0019999999999999E-2</c:v>
                </c:pt>
                <c:pt idx="2">
                  <c:v>1.209E-2</c:v>
                </c:pt>
                <c:pt idx="3">
                  <c:v>1.4200000000000001E-2</c:v>
                </c:pt>
                <c:pt idx="4">
                  <c:v>1.7299999999999999E-2</c:v>
                </c:pt>
                <c:pt idx="5">
                  <c:v>2.0899999999999998E-2</c:v>
                </c:pt>
                <c:pt idx="6">
                  <c:v>2.52E-2</c:v>
                </c:pt>
                <c:pt idx="7">
                  <c:v>3.0800000000000001E-2</c:v>
                </c:pt>
                <c:pt idx="8">
                  <c:v>3.6799999999999999E-2</c:v>
                </c:pt>
                <c:pt idx="9">
                  <c:v>4.36E-2</c:v>
                </c:pt>
                <c:pt idx="10">
                  <c:v>5.2600000000000001E-2</c:v>
                </c:pt>
                <c:pt idx="11">
                  <c:v>6.3399999999999998E-2</c:v>
                </c:pt>
                <c:pt idx="12">
                  <c:v>7.5399999999999995E-2</c:v>
                </c:pt>
                <c:pt idx="13">
                  <c:v>9.0999999999999998E-2</c:v>
                </c:pt>
                <c:pt idx="14">
                  <c:v>0.11</c:v>
                </c:pt>
                <c:pt idx="15">
                  <c:v>0.13200000000000001</c:v>
                </c:pt>
                <c:pt idx="16">
                  <c:v>0.159</c:v>
                </c:pt>
                <c:pt idx="17">
                  <c:v>0.19</c:v>
                </c:pt>
                <c:pt idx="18">
                  <c:v>0.22900000000000001</c:v>
                </c:pt>
                <c:pt idx="19">
                  <c:v>0.27600000000000002</c:v>
                </c:pt>
                <c:pt idx="20">
                  <c:v>0.33200000000000002</c:v>
                </c:pt>
                <c:pt idx="21">
                  <c:v>0.39600000000000002</c:v>
                </c:pt>
                <c:pt idx="22">
                  <c:v>0.47699999999999998</c:v>
                </c:pt>
                <c:pt idx="23">
                  <c:v>0.56799999999999995</c:v>
                </c:pt>
                <c:pt idx="24">
                  <c:v>0.68500000000000005</c:v>
                </c:pt>
                <c:pt idx="25">
                  <c:v>0.83599999999999997</c:v>
                </c:pt>
                <c:pt idx="26">
                  <c:v>0.995</c:v>
                </c:pt>
                <c:pt idx="27">
                  <c:v>1.2</c:v>
                </c:pt>
                <c:pt idx="28">
                  <c:v>1.446</c:v>
                </c:pt>
                <c:pt idx="29">
                  <c:v>1.74</c:v>
                </c:pt>
                <c:pt idx="30">
                  <c:v>2.1</c:v>
                </c:pt>
                <c:pt idx="31">
                  <c:v>2.5</c:v>
                </c:pt>
                <c:pt idx="32">
                  <c:v>3.02</c:v>
                </c:pt>
                <c:pt idx="33">
                  <c:v>3.63</c:v>
                </c:pt>
                <c:pt idx="34">
                  <c:v>4.38</c:v>
                </c:pt>
                <c:pt idx="35">
                  <c:v>5.21</c:v>
                </c:pt>
                <c:pt idx="36">
                  <c:v>6.29</c:v>
                </c:pt>
                <c:pt idx="37">
                  <c:v>7.58</c:v>
                </c:pt>
                <c:pt idx="38">
                  <c:v>9.14</c:v>
                </c:pt>
                <c:pt idx="39">
                  <c:v>11.02</c:v>
                </c:pt>
                <c:pt idx="40">
                  <c:v>13.12</c:v>
                </c:pt>
                <c:pt idx="41">
                  <c:v>15.81</c:v>
                </c:pt>
                <c:pt idx="42">
                  <c:v>19.07</c:v>
                </c:pt>
                <c:pt idx="43">
                  <c:v>21.99</c:v>
                </c:pt>
                <c:pt idx="44">
                  <c:v>27.72</c:v>
                </c:pt>
                <c:pt idx="45">
                  <c:v>32.99</c:v>
                </c:pt>
                <c:pt idx="46">
                  <c:v>39.770000000000003</c:v>
                </c:pt>
                <c:pt idx="47">
                  <c:v>47.94</c:v>
                </c:pt>
                <c:pt idx="48">
                  <c:v>57.8</c:v>
                </c:pt>
                <c:pt idx="49">
                  <c:v>68.8</c:v>
                </c:pt>
                <c:pt idx="50">
                  <c:v>82.95</c:v>
                </c:pt>
                <c:pt idx="51">
                  <c:v>97.5</c:v>
                </c:pt>
              </c:numCache>
            </c:numRef>
          </c:xVal>
          <c:yVal>
            <c:numRef>
              <c:f>Question!$B$2:$B$53</c:f>
              <c:numCache>
                <c:formatCode>General</c:formatCode>
                <c:ptCount val="52"/>
                <c:pt idx="0">
                  <c:v>5000</c:v>
                </c:pt>
                <c:pt idx="1">
                  <c:v>4980.6099999999997</c:v>
                </c:pt>
                <c:pt idx="2">
                  <c:v>4978.68</c:v>
                </c:pt>
                <c:pt idx="3">
                  <c:v>4976.57</c:v>
                </c:pt>
                <c:pt idx="4">
                  <c:v>4974.24</c:v>
                </c:pt>
                <c:pt idx="5">
                  <c:v>4971.9799999999996</c:v>
                </c:pt>
                <c:pt idx="6">
                  <c:v>4969.2</c:v>
                </c:pt>
                <c:pt idx="7">
                  <c:v>4966.1400000000003</c:v>
                </c:pt>
                <c:pt idx="8">
                  <c:v>4963.17</c:v>
                </c:pt>
                <c:pt idx="9">
                  <c:v>4959.5200000000004</c:v>
                </c:pt>
                <c:pt idx="10">
                  <c:v>4955.96</c:v>
                </c:pt>
                <c:pt idx="11">
                  <c:v>4951.59</c:v>
                </c:pt>
                <c:pt idx="12">
                  <c:v>4947.3500000000004</c:v>
                </c:pt>
                <c:pt idx="13">
                  <c:v>4942.72</c:v>
                </c:pt>
                <c:pt idx="14">
                  <c:v>4937.66</c:v>
                </c:pt>
                <c:pt idx="15">
                  <c:v>4932.2299999999996</c:v>
                </c:pt>
                <c:pt idx="16">
                  <c:v>4927.05</c:v>
                </c:pt>
                <c:pt idx="17">
                  <c:v>4921.4799999999996</c:v>
                </c:pt>
                <c:pt idx="18">
                  <c:v>4915.49</c:v>
                </c:pt>
                <c:pt idx="19">
                  <c:v>4907.1000000000004</c:v>
                </c:pt>
                <c:pt idx="20">
                  <c:v>4900</c:v>
                </c:pt>
                <c:pt idx="21">
                  <c:v>4892.37</c:v>
                </c:pt>
                <c:pt idx="22">
                  <c:v>4884.1400000000003</c:v>
                </c:pt>
                <c:pt idx="23">
                  <c:v>4875.29</c:v>
                </c:pt>
                <c:pt idx="24">
                  <c:v>4865.7700000000004</c:v>
                </c:pt>
                <c:pt idx="25">
                  <c:v>4855.5200000000004</c:v>
                </c:pt>
                <c:pt idx="26">
                  <c:v>4844.4799999999996</c:v>
                </c:pt>
                <c:pt idx="27">
                  <c:v>4832.6000000000004</c:v>
                </c:pt>
                <c:pt idx="28">
                  <c:v>4819.82</c:v>
                </c:pt>
                <c:pt idx="29">
                  <c:v>4806.0600000000004</c:v>
                </c:pt>
                <c:pt idx="30">
                  <c:v>4793.43</c:v>
                </c:pt>
                <c:pt idx="31">
                  <c:v>4779.9799999999996</c:v>
                </c:pt>
                <c:pt idx="32">
                  <c:v>4763.17</c:v>
                </c:pt>
                <c:pt idx="33">
                  <c:v>4747.75</c:v>
                </c:pt>
                <c:pt idx="34">
                  <c:v>4731.33</c:v>
                </c:pt>
                <c:pt idx="35">
                  <c:v>4713.83</c:v>
                </c:pt>
                <c:pt idx="36">
                  <c:v>4698.38</c:v>
                </c:pt>
                <c:pt idx="37">
                  <c:v>4678.74</c:v>
                </c:pt>
                <c:pt idx="38">
                  <c:v>4661.3999999999996</c:v>
                </c:pt>
                <c:pt idx="39">
                  <c:v>4643.13</c:v>
                </c:pt>
                <c:pt idx="40">
                  <c:v>4623.87</c:v>
                </c:pt>
                <c:pt idx="41">
                  <c:v>4607.71</c:v>
                </c:pt>
                <c:pt idx="42">
                  <c:v>4586.54</c:v>
                </c:pt>
                <c:pt idx="43">
                  <c:v>4568.78</c:v>
                </c:pt>
                <c:pt idx="44">
                  <c:v>4550.26</c:v>
                </c:pt>
                <c:pt idx="45">
                  <c:v>4530.93</c:v>
                </c:pt>
                <c:pt idx="46">
                  <c:v>4510.79</c:v>
                </c:pt>
                <c:pt idx="47">
                  <c:v>4495.1099999999997</c:v>
                </c:pt>
                <c:pt idx="48">
                  <c:v>4473.4399999999996</c:v>
                </c:pt>
                <c:pt idx="49">
                  <c:v>4456.55</c:v>
                </c:pt>
                <c:pt idx="50">
                  <c:v>4433.21</c:v>
                </c:pt>
                <c:pt idx="51">
                  <c:v>4408.8599999999997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B40-4C7D-BD53-820D1FEB8590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og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Question!$A$43:$A$53</c:f>
              <c:numCache>
                <c:formatCode>General</c:formatCode>
                <c:ptCount val="11"/>
                <c:pt idx="0">
                  <c:v>15.81</c:v>
                </c:pt>
                <c:pt idx="1">
                  <c:v>19.07</c:v>
                </c:pt>
                <c:pt idx="2">
                  <c:v>21.99</c:v>
                </c:pt>
                <c:pt idx="3">
                  <c:v>27.72</c:v>
                </c:pt>
                <c:pt idx="4">
                  <c:v>32.99</c:v>
                </c:pt>
                <c:pt idx="5">
                  <c:v>39.770000000000003</c:v>
                </c:pt>
                <c:pt idx="6">
                  <c:v>47.94</c:v>
                </c:pt>
                <c:pt idx="7">
                  <c:v>57.8</c:v>
                </c:pt>
                <c:pt idx="8">
                  <c:v>68.8</c:v>
                </c:pt>
                <c:pt idx="9">
                  <c:v>82.95</c:v>
                </c:pt>
                <c:pt idx="10">
                  <c:v>97.5</c:v>
                </c:pt>
              </c:numCache>
            </c:numRef>
          </c:xVal>
          <c:yVal>
            <c:numRef>
              <c:f>Question!$B$43:$B$53</c:f>
              <c:numCache>
                <c:formatCode>General</c:formatCode>
                <c:ptCount val="11"/>
                <c:pt idx="0">
                  <c:v>4607.71</c:v>
                </c:pt>
                <c:pt idx="1">
                  <c:v>4586.54</c:v>
                </c:pt>
                <c:pt idx="2">
                  <c:v>4568.78</c:v>
                </c:pt>
                <c:pt idx="3">
                  <c:v>4550.26</c:v>
                </c:pt>
                <c:pt idx="4">
                  <c:v>4530.93</c:v>
                </c:pt>
                <c:pt idx="5">
                  <c:v>4510.79</c:v>
                </c:pt>
                <c:pt idx="6">
                  <c:v>4495.1099999999997</c:v>
                </c:pt>
                <c:pt idx="7">
                  <c:v>4473.4399999999996</c:v>
                </c:pt>
                <c:pt idx="8">
                  <c:v>4456.55</c:v>
                </c:pt>
                <c:pt idx="9">
                  <c:v>4433.21</c:v>
                </c:pt>
                <c:pt idx="10">
                  <c:v>4408.8599999999997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B40-4C7D-BD53-820D1FEB85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90295743"/>
        <c:axId val="290291903"/>
      </c:scatterChart>
      <c:valAx>
        <c:axId val="290295743"/>
        <c:scaling>
          <c:logBase val="10"/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0291903"/>
        <c:crosses val="autoZero"/>
        <c:crossBetween val="midCat"/>
      </c:valAx>
      <c:valAx>
        <c:axId val="2902919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029574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Question!$D$1</c:f>
              <c:strCache>
                <c:ptCount val="1"/>
                <c:pt idx="0">
                  <c:v>DELTA P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Question!$A$2:$A$53</c:f>
              <c:numCache>
                <c:formatCode>General</c:formatCode>
                <c:ptCount val="52"/>
                <c:pt idx="0">
                  <c:v>0</c:v>
                </c:pt>
                <c:pt idx="1">
                  <c:v>1.0019999999999999E-2</c:v>
                </c:pt>
                <c:pt idx="2">
                  <c:v>1.209E-2</c:v>
                </c:pt>
                <c:pt idx="3">
                  <c:v>1.4200000000000001E-2</c:v>
                </c:pt>
                <c:pt idx="4">
                  <c:v>1.7299999999999999E-2</c:v>
                </c:pt>
                <c:pt idx="5">
                  <c:v>2.0899999999999998E-2</c:v>
                </c:pt>
                <c:pt idx="6">
                  <c:v>2.52E-2</c:v>
                </c:pt>
                <c:pt idx="7">
                  <c:v>3.0800000000000001E-2</c:v>
                </c:pt>
                <c:pt idx="8">
                  <c:v>3.6799999999999999E-2</c:v>
                </c:pt>
                <c:pt idx="9">
                  <c:v>4.36E-2</c:v>
                </c:pt>
                <c:pt idx="10">
                  <c:v>5.2600000000000001E-2</c:v>
                </c:pt>
                <c:pt idx="11">
                  <c:v>6.3399999999999998E-2</c:v>
                </c:pt>
                <c:pt idx="12">
                  <c:v>7.5399999999999995E-2</c:v>
                </c:pt>
                <c:pt idx="13">
                  <c:v>9.0999999999999998E-2</c:v>
                </c:pt>
                <c:pt idx="14">
                  <c:v>0.11</c:v>
                </c:pt>
                <c:pt idx="15">
                  <c:v>0.13200000000000001</c:v>
                </c:pt>
                <c:pt idx="16">
                  <c:v>0.159</c:v>
                </c:pt>
                <c:pt idx="17">
                  <c:v>0.19</c:v>
                </c:pt>
                <c:pt idx="18">
                  <c:v>0.22900000000000001</c:v>
                </c:pt>
                <c:pt idx="19">
                  <c:v>0.27600000000000002</c:v>
                </c:pt>
                <c:pt idx="20">
                  <c:v>0.33200000000000002</c:v>
                </c:pt>
                <c:pt idx="21">
                  <c:v>0.39600000000000002</c:v>
                </c:pt>
                <c:pt idx="22">
                  <c:v>0.47699999999999998</c:v>
                </c:pt>
                <c:pt idx="23">
                  <c:v>0.56799999999999995</c:v>
                </c:pt>
                <c:pt idx="24">
                  <c:v>0.68500000000000005</c:v>
                </c:pt>
                <c:pt idx="25">
                  <c:v>0.83599999999999997</c:v>
                </c:pt>
                <c:pt idx="26">
                  <c:v>0.995</c:v>
                </c:pt>
                <c:pt idx="27">
                  <c:v>1.2</c:v>
                </c:pt>
                <c:pt idx="28">
                  <c:v>1.446</c:v>
                </c:pt>
                <c:pt idx="29">
                  <c:v>1.74</c:v>
                </c:pt>
                <c:pt idx="30">
                  <c:v>2.1</c:v>
                </c:pt>
                <c:pt idx="31">
                  <c:v>2.5</c:v>
                </c:pt>
                <c:pt idx="32">
                  <c:v>3.02</c:v>
                </c:pt>
                <c:pt idx="33">
                  <c:v>3.63</c:v>
                </c:pt>
                <c:pt idx="34">
                  <c:v>4.38</c:v>
                </c:pt>
                <c:pt idx="35">
                  <c:v>5.21</c:v>
                </c:pt>
                <c:pt idx="36">
                  <c:v>6.29</c:v>
                </c:pt>
                <c:pt idx="37">
                  <c:v>7.58</c:v>
                </c:pt>
                <c:pt idx="38">
                  <c:v>9.14</c:v>
                </c:pt>
                <c:pt idx="39">
                  <c:v>11.02</c:v>
                </c:pt>
                <c:pt idx="40">
                  <c:v>13.12</c:v>
                </c:pt>
                <c:pt idx="41">
                  <c:v>15.81</c:v>
                </c:pt>
                <c:pt idx="42">
                  <c:v>19.07</c:v>
                </c:pt>
                <c:pt idx="43">
                  <c:v>21.99</c:v>
                </c:pt>
                <c:pt idx="44">
                  <c:v>27.72</c:v>
                </c:pt>
                <c:pt idx="45">
                  <c:v>32.99</c:v>
                </c:pt>
                <c:pt idx="46">
                  <c:v>39.770000000000003</c:v>
                </c:pt>
                <c:pt idx="47">
                  <c:v>47.94</c:v>
                </c:pt>
                <c:pt idx="48">
                  <c:v>57.8</c:v>
                </c:pt>
                <c:pt idx="49">
                  <c:v>68.8</c:v>
                </c:pt>
                <c:pt idx="50">
                  <c:v>82.95</c:v>
                </c:pt>
                <c:pt idx="51">
                  <c:v>97.5</c:v>
                </c:pt>
              </c:numCache>
            </c:numRef>
          </c:xVal>
          <c:yVal>
            <c:numRef>
              <c:f>Question!$D$2:$D$53</c:f>
              <c:numCache>
                <c:formatCode>General</c:formatCode>
                <c:ptCount val="52"/>
                <c:pt idx="0">
                  <c:v>0</c:v>
                </c:pt>
                <c:pt idx="1">
                  <c:v>19.390000000000327</c:v>
                </c:pt>
                <c:pt idx="2">
                  <c:v>21.319999999999709</c:v>
                </c:pt>
                <c:pt idx="3">
                  <c:v>23.430000000000291</c:v>
                </c:pt>
                <c:pt idx="4">
                  <c:v>25.760000000000218</c:v>
                </c:pt>
                <c:pt idx="5">
                  <c:v>28.020000000000437</c:v>
                </c:pt>
                <c:pt idx="6">
                  <c:v>30.800000000000182</c:v>
                </c:pt>
                <c:pt idx="7">
                  <c:v>33.859999999999673</c:v>
                </c:pt>
                <c:pt idx="8">
                  <c:v>36.829999999999927</c:v>
                </c:pt>
                <c:pt idx="9">
                  <c:v>40.479999999999563</c:v>
                </c:pt>
                <c:pt idx="10">
                  <c:v>44.039999999999964</c:v>
                </c:pt>
                <c:pt idx="11">
                  <c:v>48.409999999999854</c:v>
                </c:pt>
                <c:pt idx="12">
                  <c:v>52.649999999999636</c:v>
                </c:pt>
                <c:pt idx="13">
                  <c:v>57.279999999999745</c:v>
                </c:pt>
                <c:pt idx="14">
                  <c:v>62.340000000000146</c:v>
                </c:pt>
                <c:pt idx="15">
                  <c:v>67.770000000000437</c:v>
                </c:pt>
                <c:pt idx="16">
                  <c:v>72.949999999999818</c:v>
                </c:pt>
                <c:pt idx="17">
                  <c:v>78.520000000000437</c:v>
                </c:pt>
                <c:pt idx="18">
                  <c:v>84.510000000000218</c:v>
                </c:pt>
                <c:pt idx="19">
                  <c:v>92.899999999999636</c:v>
                </c:pt>
                <c:pt idx="20">
                  <c:v>100</c:v>
                </c:pt>
                <c:pt idx="21">
                  <c:v>107.63000000000011</c:v>
                </c:pt>
                <c:pt idx="22">
                  <c:v>115.85999999999967</c:v>
                </c:pt>
                <c:pt idx="23">
                  <c:v>124.71000000000004</c:v>
                </c:pt>
                <c:pt idx="24">
                  <c:v>134.22999999999956</c:v>
                </c:pt>
                <c:pt idx="25">
                  <c:v>144.47999999999956</c:v>
                </c:pt>
                <c:pt idx="26">
                  <c:v>155.52000000000044</c:v>
                </c:pt>
                <c:pt idx="27">
                  <c:v>167.39999999999964</c:v>
                </c:pt>
                <c:pt idx="28">
                  <c:v>180.18000000000029</c:v>
                </c:pt>
                <c:pt idx="29">
                  <c:v>193.9399999999996</c:v>
                </c:pt>
                <c:pt idx="30">
                  <c:v>206.56999999999971</c:v>
                </c:pt>
                <c:pt idx="31">
                  <c:v>220.02000000000044</c:v>
                </c:pt>
                <c:pt idx="32">
                  <c:v>236.82999999999993</c:v>
                </c:pt>
                <c:pt idx="33">
                  <c:v>252.25</c:v>
                </c:pt>
                <c:pt idx="34">
                  <c:v>268.67000000000007</c:v>
                </c:pt>
                <c:pt idx="35">
                  <c:v>286.17000000000007</c:v>
                </c:pt>
                <c:pt idx="36">
                  <c:v>301.61999999999989</c:v>
                </c:pt>
                <c:pt idx="37">
                  <c:v>321.26000000000022</c:v>
                </c:pt>
                <c:pt idx="38">
                  <c:v>338.60000000000036</c:v>
                </c:pt>
                <c:pt idx="39">
                  <c:v>356.86999999999989</c:v>
                </c:pt>
                <c:pt idx="40">
                  <c:v>376.13000000000011</c:v>
                </c:pt>
                <c:pt idx="41">
                  <c:v>392.28999999999996</c:v>
                </c:pt>
                <c:pt idx="42">
                  <c:v>413.46000000000004</c:v>
                </c:pt>
                <c:pt idx="43">
                  <c:v>431.22000000000025</c:v>
                </c:pt>
                <c:pt idx="44">
                  <c:v>449.73999999999978</c:v>
                </c:pt>
                <c:pt idx="45">
                  <c:v>469.06999999999971</c:v>
                </c:pt>
                <c:pt idx="46">
                  <c:v>489.21000000000004</c:v>
                </c:pt>
                <c:pt idx="47">
                  <c:v>504.89000000000033</c:v>
                </c:pt>
                <c:pt idx="48">
                  <c:v>526.5600000000004</c:v>
                </c:pt>
                <c:pt idx="49">
                  <c:v>543.44999999999982</c:v>
                </c:pt>
                <c:pt idx="50">
                  <c:v>566.79</c:v>
                </c:pt>
                <c:pt idx="51">
                  <c:v>591.14000000000033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A37-43D2-AC47-A6A0560F15CA}"/>
            </c:ext>
          </c:extLst>
        </c:ser>
        <c:ser>
          <c:idx val="1"/>
          <c:order val="1"/>
          <c:tx>
            <c:strRef>
              <c:f>Question!$E$1</c:f>
              <c:strCache>
                <c:ptCount val="1"/>
                <c:pt idx="0">
                  <c:v>delP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Question!$A$2:$A$53</c:f>
              <c:numCache>
                <c:formatCode>General</c:formatCode>
                <c:ptCount val="52"/>
                <c:pt idx="0">
                  <c:v>0</c:v>
                </c:pt>
                <c:pt idx="1">
                  <c:v>1.0019999999999999E-2</c:v>
                </c:pt>
                <c:pt idx="2">
                  <c:v>1.209E-2</c:v>
                </c:pt>
                <c:pt idx="3">
                  <c:v>1.4200000000000001E-2</c:v>
                </c:pt>
                <c:pt idx="4">
                  <c:v>1.7299999999999999E-2</c:v>
                </c:pt>
                <c:pt idx="5">
                  <c:v>2.0899999999999998E-2</c:v>
                </c:pt>
                <c:pt idx="6">
                  <c:v>2.52E-2</c:v>
                </c:pt>
                <c:pt idx="7">
                  <c:v>3.0800000000000001E-2</c:v>
                </c:pt>
                <c:pt idx="8">
                  <c:v>3.6799999999999999E-2</c:v>
                </c:pt>
                <c:pt idx="9">
                  <c:v>4.36E-2</c:v>
                </c:pt>
                <c:pt idx="10">
                  <c:v>5.2600000000000001E-2</c:v>
                </c:pt>
                <c:pt idx="11">
                  <c:v>6.3399999999999998E-2</c:v>
                </c:pt>
                <c:pt idx="12">
                  <c:v>7.5399999999999995E-2</c:v>
                </c:pt>
                <c:pt idx="13">
                  <c:v>9.0999999999999998E-2</c:v>
                </c:pt>
                <c:pt idx="14">
                  <c:v>0.11</c:v>
                </c:pt>
                <c:pt idx="15">
                  <c:v>0.13200000000000001</c:v>
                </c:pt>
                <c:pt idx="16">
                  <c:v>0.159</c:v>
                </c:pt>
                <c:pt idx="17">
                  <c:v>0.19</c:v>
                </c:pt>
                <c:pt idx="18">
                  <c:v>0.22900000000000001</c:v>
                </c:pt>
                <c:pt idx="19">
                  <c:v>0.27600000000000002</c:v>
                </c:pt>
                <c:pt idx="20">
                  <c:v>0.33200000000000002</c:v>
                </c:pt>
                <c:pt idx="21">
                  <c:v>0.39600000000000002</c:v>
                </c:pt>
                <c:pt idx="22">
                  <c:v>0.47699999999999998</c:v>
                </c:pt>
                <c:pt idx="23">
                  <c:v>0.56799999999999995</c:v>
                </c:pt>
                <c:pt idx="24">
                  <c:v>0.68500000000000005</c:v>
                </c:pt>
                <c:pt idx="25">
                  <c:v>0.83599999999999997</c:v>
                </c:pt>
                <c:pt idx="26">
                  <c:v>0.995</c:v>
                </c:pt>
                <c:pt idx="27">
                  <c:v>1.2</c:v>
                </c:pt>
                <c:pt idx="28">
                  <c:v>1.446</c:v>
                </c:pt>
                <c:pt idx="29">
                  <c:v>1.74</c:v>
                </c:pt>
                <c:pt idx="30">
                  <c:v>2.1</c:v>
                </c:pt>
                <c:pt idx="31">
                  <c:v>2.5</c:v>
                </c:pt>
                <c:pt idx="32">
                  <c:v>3.02</c:v>
                </c:pt>
                <c:pt idx="33">
                  <c:v>3.63</c:v>
                </c:pt>
                <c:pt idx="34">
                  <c:v>4.38</c:v>
                </c:pt>
                <c:pt idx="35">
                  <c:v>5.21</c:v>
                </c:pt>
                <c:pt idx="36">
                  <c:v>6.29</c:v>
                </c:pt>
                <c:pt idx="37">
                  <c:v>7.58</c:v>
                </c:pt>
                <c:pt idx="38">
                  <c:v>9.14</c:v>
                </c:pt>
                <c:pt idx="39">
                  <c:v>11.02</c:v>
                </c:pt>
                <c:pt idx="40">
                  <c:v>13.12</c:v>
                </c:pt>
                <c:pt idx="41">
                  <c:v>15.81</c:v>
                </c:pt>
                <c:pt idx="42">
                  <c:v>19.07</c:v>
                </c:pt>
                <c:pt idx="43">
                  <c:v>21.99</c:v>
                </c:pt>
                <c:pt idx="44">
                  <c:v>27.72</c:v>
                </c:pt>
                <c:pt idx="45">
                  <c:v>32.99</c:v>
                </c:pt>
                <c:pt idx="46">
                  <c:v>39.770000000000003</c:v>
                </c:pt>
                <c:pt idx="47">
                  <c:v>47.94</c:v>
                </c:pt>
                <c:pt idx="48">
                  <c:v>57.8</c:v>
                </c:pt>
                <c:pt idx="49">
                  <c:v>68.8</c:v>
                </c:pt>
                <c:pt idx="50">
                  <c:v>82.95</c:v>
                </c:pt>
                <c:pt idx="51">
                  <c:v>97.5</c:v>
                </c:pt>
              </c:numCache>
            </c:numRef>
          </c:xVal>
          <c:yVal>
            <c:numRef>
              <c:f>Question!$E$2:$E$53</c:f>
              <c:numCache>
                <c:formatCode>General</c:formatCode>
                <c:ptCount val="52"/>
                <c:pt idx="1">
                  <c:v>19.390000000000327</c:v>
                </c:pt>
                <c:pt idx="2">
                  <c:v>11.272318840576094</c:v>
                </c:pt>
                <c:pt idx="3">
                  <c:v>14.200000000003913</c:v>
                </c:pt>
                <c:pt idx="4">
                  <c:v>13.002903225806051</c:v>
                </c:pt>
                <c:pt idx="5">
                  <c:v>13.120555555556825</c:v>
                </c:pt>
                <c:pt idx="6">
                  <c:v>16.292093023254314</c:v>
                </c:pt>
                <c:pt idx="7">
                  <c:v>16.829999999997195</c:v>
                </c:pt>
                <c:pt idx="8">
                  <c:v>18.216000000001568</c:v>
                </c:pt>
                <c:pt idx="9">
                  <c:v>23.402941176468254</c:v>
                </c:pt>
                <c:pt idx="10">
                  <c:v>20.806222222224559</c:v>
                </c:pt>
                <c:pt idx="11">
                  <c:v>25.653518518517885</c:v>
                </c:pt>
                <c:pt idx="12">
                  <c:v>26.641333333331964</c:v>
                </c:pt>
                <c:pt idx="13">
                  <c:v>27.008333333333965</c:v>
                </c:pt>
                <c:pt idx="14">
                  <c:v>29.294736842107579</c:v>
                </c:pt>
                <c:pt idx="15">
                  <c:v>32.580000000001739</c:v>
                </c:pt>
                <c:pt idx="16">
                  <c:v>30.504444444440807</c:v>
                </c:pt>
                <c:pt idx="17">
                  <c:v>34.138709677423144</c:v>
                </c:pt>
                <c:pt idx="18">
                  <c:v>35.172051282049992</c:v>
                </c:pt>
                <c:pt idx="19">
                  <c:v>49.268936170209336</c:v>
                </c:pt>
                <c:pt idx="20">
                  <c:v>42.092857142859309</c:v>
                </c:pt>
                <c:pt idx="21">
                  <c:v>47.210625000000675</c:v>
                </c:pt>
                <c:pt idx="22">
                  <c:v>48.46555555555301</c:v>
                </c:pt>
                <c:pt idx="23">
                  <c:v>55.239560439562716</c:v>
                </c:pt>
                <c:pt idx="24">
                  <c:v>55.736752136749317</c:v>
                </c:pt>
                <c:pt idx="25">
                  <c:v>56.748344370860956</c:v>
                </c:pt>
                <c:pt idx="26">
                  <c:v>69.086792452835638</c:v>
                </c:pt>
                <c:pt idx="27">
                  <c:v>69.541463414629476</c:v>
                </c:pt>
                <c:pt idx="28">
                  <c:v>75.121463414638001</c:v>
                </c:pt>
                <c:pt idx="29">
                  <c:v>81.436734693873447</c:v>
                </c:pt>
                <c:pt idx="30">
                  <c:v>73.675000000000622</c:v>
                </c:pt>
                <c:pt idx="31">
                  <c:v>84.062500000004562</c:v>
                </c:pt>
                <c:pt idx="32">
                  <c:v>97.62730769230474</c:v>
                </c:pt>
                <c:pt idx="33">
                  <c:v>91.761639344262747</c:v>
                </c:pt>
                <c:pt idx="34">
                  <c:v>95.89280000000042</c:v>
                </c:pt>
                <c:pt idx="35">
                  <c:v>109.84939759036143</c:v>
                </c:pt>
                <c:pt idx="36">
                  <c:v>89.981944444443386</c:v>
                </c:pt>
                <c:pt idx="37">
                  <c:v>115.40403100775386</c:v>
                </c:pt>
                <c:pt idx="38">
                  <c:v>101.59461538461622</c:v>
                </c:pt>
                <c:pt idx="39">
                  <c:v>107.09329787233771</c:v>
                </c:pt>
                <c:pt idx="40">
                  <c:v>120.32914285714423</c:v>
                </c:pt>
                <c:pt idx="41">
                  <c:v>94.97754646840059</c:v>
                </c:pt>
                <c:pt idx="42">
                  <c:v>123.83800613496976</c:v>
                </c:pt>
                <c:pt idx="43">
                  <c:v>133.74739726027568</c:v>
                </c:pt>
                <c:pt idx="44">
                  <c:v>89.594136125652142</c:v>
                </c:pt>
                <c:pt idx="45">
                  <c:v>121.00506641366172</c:v>
                </c:pt>
                <c:pt idx="46">
                  <c:v>118.13684365781901</c:v>
                </c:pt>
                <c:pt idx="47">
                  <c:v>92.007246022033584</c:v>
                </c:pt>
                <c:pt idx="48">
                  <c:v>127.03103448275905</c:v>
                </c:pt>
                <c:pt idx="49">
                  <c:v>105.63927272726909</c:v>
                </c:pt>
                <c:pt idx="50">
                  <c:v>136.82353356890539</c:v>
                </c:pt>
                <c:pt idx="51">
                  <c:v>163.17010309278598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A37-43D2-AC47-A6A0560F15CA}"/>
            </c:ext>
          </c:extLst>
        </c:ser>
        <c:ser>
          <c:idx val="2"/>
          <c:order val="2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Question!$A$2:$A$53</c:f>
              <c:numCache>
                <c:formatCode>General</c:formatCode>
                <c:ptCount val="52"/>
                <c:pt idx="0">
                  <c:v>0</c:v>
                </c:pt>
                <c:pt idx="1">
                  <c:v>1.0019999999999999E-2</c:v>
                </c:pt>
                <c:pt idx="2">
                  <c:v>1.209E-2</c:v>
                </c:pt>
                <c:pt idx="3">
                  <c:v>1.4200000000000001E-2</c:v>
                </c:pt>
                <c:pt idx="4">
                  <c:v>1.7299999999999999E-2</c:v>
                </c:pt>
                <c:pt idx="5">
                  <c:v>2.0899999999999998E-2</c:v>
                </c:pt>
                <c:pt idx="6">
                  <c:v>2.52E-2</c:v>
                </c:pt>
                <c:pt idx="7">
                  <c:v>3.0800000000000001E-2</c:v>
                </c:pt>
                <c:pt idx="8">
                  <c:v>3.6799999999999999E-2</c:v>
                </c:pt>
                <c:pt idx="9">
                  <c:v>4.36E-2</c:v>
                </c:pt>
                <c:pt idx="10">
                  <c:v>5.2600000000000001E-2</c:v>
                </c:pt>
                <c:pt idx="11">
                  <c:v>6.3399999999999998E-2</c:v>
                </c:pt>
                <c:pt idx="12">
                  <c:v>7.5399999999999995E-2</c:v>
                </c:pt>
                <c:pt idx="13">
                  <c:v>9.0999999999999998E-2</c:v>
                </c:pt>
                <c:pt idx="14">
                  <c:v>0.11</c:v>
                </c:pt>
                <c:pt idx="15">
                  <c:v>0.13200000000000001</c:v>
                </c:pt>
                <c:pt idx="16">
                  <c:v>0.159</c:v>
                </c:pt>
                <c:pt idx="17">
                  <c:v>0.19</c:v>
                </c:pt>
                <c:pt idx="18">
                  <c:v>0.22900000000000001</c:v>
                </c:pt>
                <c:pt idx="19">
                  <c:v>0.27600000000000002</c:v>
                </c:pt>
                <c:pt idx="20">
                  <c:v>0.33200000000000002</c:v>
                </c:pt>
                <c:pt idx="21">
                  <c:v>0.39600000000000002</c:v>
                </c:pt>
                <c:pt idx="22">
                  <c:v>0.47699999999999998</c:v>
                </c:pt>
                <c:pt idx="23">
                  <c:v>0.56799999999999995</c:v>
                </c:pt>
                <c:pt idx="24">
                  <c:v>0.68500000000000005</c:v>
                </c:pt>
                <c:pt idx="25">
                  <c:v>0.83599999999999997</c:v>
                </c:pt>
                <c:pt idx="26">
                  <c:v>0.995</c:v>
                </c:pt>
                <c:pt idx="27">
                  <c:v>1.2</c:v>
                </c:pt>
                <c:pt idx="28">
                  <c:v>1.446</c:v>
                </c:pt>
                <c:pt idx="29">
                  <c:v>1.74</c:v>
                </c:pt>
                <c:pt idx="30">
                  <c:v>2.1</c:v>
                </c:pt>
                <c:pt idx="31">
                  <c:v>2.5</c:v>
                </c:pt>
                <c:pt idx="32">
                  <c:v>3.02</c:v>
                </c:pt>
                <c:pt idx="33">
                  <c:v>3.63</c:v>
                </c:pt>
                <c:pt idx="34">
                  <c:v>4.38</c:v>
                </c:pt>
                <c:pt idx="35">
                  <c:v>5.21</c:v>
                </c:pt>
                <c:pt idx="36">
                  <c:v>6.29</c:v>
                </c:pt>
                <c:pt idx="37">
                  <c:v>7.58</c:v>
                </c:pt>
                <c:pt idx="38">
                  <c:v>9.14</c:v>
                </c:pt>
                <c:pt idx="39">
                  <c:v>11.02</c:v>
                </c:pt>
                <c:pt idx="40">
                  <c:v>13.12</c:v>
                </c:pt>
                <c:pt idx="41">
                  <c:v>15.81</c:v>
                </c:pt>
                <c:pt idx="42">
                  <c:v>19.07</c:v>
                </c:pt>
                <c:pt idx="43">
                  <c:v>21.99</c:v>
                </c:pt>
                <c:pt idx="44">
                  <c:v>27.72</c:v>
                </c:pt>
                <c:pt idx="45">
                  <c:v>32.99</c:v>
                </c:pt>
                <c:pt idx="46">
                  <c:v>39.770000000000003</c:v>
                </c:pt>
                <c:pt idx="47">
                  <c:v>47.94</c:v>
                </c:pt>
                <c:pt idx="48">
                  <c:v>57.8</c:v>
                </c:pt>
                <c:pt idx="49">
                  <c:v>68.8</c:v>
                </c:pt>
                <c:pt idx="50">
                  <c:v>82.95</c:v>
                </c:pt>
                <c:pt idx="51">
                  <c:v>97.5</c:v>
                </c:pt>
              </c:numCache>
            </c:numRef>
          </c:xVal>
          <c:yVal>
            <c:numRef>
              <c:f>Question!$J$2:$J$53</c:f>
              <c:numCache>
                <c:formatCode>General</c:formatCode>
                <c:ptCount val="52"/>
                <c:pt idx="0">
                  <c:v>0</c:v>
                </c:pt>
                <c:pt idx="1">
                  <c:v>17.01699150848939</c:v>
                </c:pt>
                <c:pt idx="2">
                  <c:v>18.692271130068708</c:v>
                </c:pt>
                <c:pt idx="3">
                  <c:v>20.257837989282077</c:v>
                </c:pt>
                <c:pt idx="4">
                  <c:v>22.360008944542038</c:v>
                </c:pt>
                <c:pt idx="5">
                  <c:v>24.57661490116163</c:v>
                </c:pt>
                <c:pt idx="6">
                  <c:v>26.986663372858825</c:v>
                </c:pt>
                <c:pt idx="7">
                  <c:v>29.834878917133214</c:v>
                </c:pt>
                <c:pt idx="8">
                  <c:v>32.611654358526494</c:v>
                </c:pt>
                <c:pt idx="9">
                  <c:v>35.497042130295874</c:v>
                </c:pt>
                <c:pt idx="10">
                  <c:v>38.988972800011034</c:v>
                </c:pt>
                <c:pt idx="11">
                  <c:v>42.804906260848185</c:v>
                </c:pt>
                <c:pt idx="12">
                  <c:v>46.680402740336334</c:v>
                </c:pt>
                <c:pt idx="13">
                  <c:v>51.282550638594415</c:v>
                </c:pt>
                <c:pt idx="14">
                  <c:v>56.382621436041795</c:v>
                </c:pt>
                <c:pt idx="15">
                  <c:v>61.764067223588832</c:v>
                </c:pt>
                <c:pt idx="16">
                  <c:v>67.787166927081415</c:v>
                </c:pt>
                <c:pt idx="17">
                  <c:v>74.10128204019145</c:v>
                </c:pt>
                <c:pt idx="18">
                  <c:v>81.351705575236707</c:v>
                </c:pt>
                <c:pt idx="19">
                  <c:v>89.310693648633148</c:v>
                </c:pt>
                <c:pt idx="20">
                  <c:v>97.953049978037939</c:v>
                </c:pt>
                <c:pt idx="21">
                  <c:v>106.97850251335545</c:v>
                </c:pt>
                <c:pt idx="22">
                  <c:v>117.41081721885766</c:v>
                </c:pt>
                <c:pt idx="23">
                  <c:v>128.12181703363404</c:v>
                </c:pt>
                <c:pt idx="24">
                  <c:v>140.70003553659822</c:v>
                </c:pt>
                <c:pt idx="25">
                  <c:v>155.43616052900947</c:v>
                </c:pt>
                <c:pt idx="26">
                  <c:v>169.57446741771003</c:v>
                </c:pt>
                <c:pt idx="27">
                  <c:v>186.22566955175645</c:v>
                </c:pt>
                <c:pt idx="28">
                  <c:v>204.4245582115808</c:v>
                </c:pt>
                <c:pt idx="29">
                  <c:v>224.24540129063962</c:v>
                </c:pt>
                <c:pt idx="30">
                  <c:v>246.35340468522048</c:v>
                </c:pt>
                <c:pt idx="31">
                  <c:v>268.79360111431225</c:v>
                </c:pt>
                <c:pt idx="32">
                  <c:v>295.42850234870707</c:v>
                </c:pt>
                <c:pt idx="33">
                  <c:v>323.89350101538008</c:v>
                </c:pt>
                <c:pt idx="34">
                  <c:v>355.78364211975793</c:v>
                </c:pt>
                <c:pt idx="35">
                  <c:v>388.03221515745315</c:v>
                </c:pt>
                <c:pt idx="36">
                  <c:v>426.35783093547138</c:v>
                </c:pt>
                <c:pt idx="37">
                  <c:v>468.04059652983096</c:v>
                </c:pt>
                <c:pt idx="38">
                  <c:v>513.95135956625313</c:v>
                </c:pt>
                <c:pt idx="39">
                  <c:v>564.33855087172628</c:v>
                </c:pt>
                <c:pt idx="40">
                  <c:v>615.76618939334435</c:v>
                </c:pt>
                <c:pt idx="41">
                  <c:v>675.95044197041545</c:v>
                </c:pt>
                <c:pt idx="42">
                  <c:v>742.37658907053367</c:v>
                </c:pt>
                <c:pt idx="43">
                  <c:v>797.18943796314807</c:v>
                </c:pt>
                <c:pt idx="44">
                  <c:v>895.04636751399642</c:v>
                </c:pt>
                <c:pt idx="45">
                  <c:v>976.42767269265778</c:v>
                </c:pt>
                <c:pt idx="46">
                  <c:v>1072.0788217290742</c:v>
                </c:pt>
                <c:pt idx="47">
                  <c:v>1177.0581973717358</c:v>
                </c:pt>
                <c:pt idx="48">
                  <c:v>1292.4472909948786</c:v>
                </c:pt>
                <c:pt idx="49">
                  <c:v>1410.0780120262848</c:v>
                </c:pt>
                <c:pt idx="50">
                  <c:v>1548.3071400726665</c:v>
                </c:pt>
                <c:pt idx="51">
                  <c:v>1678.6155009411773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CA37-43D2-AC47-A6A0560F15CA}"/>
            </c:ext>
          </c:extLst>
        </c:ser>
        <c:ser>
          <c:idx val="3"/>
          <c:order val="3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Question!$A$41:$A$50</c:f>
              <c:numCache>
                <c:formatCode>General</c:formatCode>
                <c:ptCount val="10"/>
                <c:pt idx="0">
                  <c:v>11.02</c:v>
                </c:pt>
                <c:pt idx="1">
                  <c:v>13.12</c:v>
                </c:pt>
                <c:pt idx="2">
                  <c:v>15.81</c:v>
                </c:pt>
                <c:pt idx="3">
                  <c:v>19.07</c:v>
                </c:pt>
                <c:pt idx="4">
                  <c:v>21.99</c:v>
                </c:pt>
                <c:pt idx="5">
                  <c:v>27.72</c:v>
                </c:pt>
                <c:pt idx="6">
                  <c:v>32.99</c:v>
                </c:pt>
                <c:pt idx="7">
                  <c:v>39.770000000000003</c:v>
                </c:pt>
                <c:pt idx="8">
                  <c:v>47.94</c:v>
                </c:pt>
                <c:pt idx="9">
                  <c:v>57.8</c:v>
                </c:pt>
              </c:numCache>
            </c:numRef>
          </c:xVal>
          <c:yVal>
            <c:numRef>
              <c:f>Question!$E$41:$E$50</c:f>
              <c:numCache>
                <c:formatCode>General</c:formatCode>
                <c:ptCount val="10"/>
                <c:pt idx="0">
                  <c:v>107.09329787233771</c:v>
                </c:pt>
                <c:pt idx="1">
                  <c:v>120.32914285714423</c:v>
                </c:pt>
                <c:pt idx="2">
                  <c:v>94.97754646840059</c:v>
                </c:pt>
                <c:pt idx="3">
                  <c:v>123.83800613496976</c:v>
                </c:pt>
                <c:pt idx="4">
                  <c:v>133.74739726027568</c:v>
                </c:pt>
                <c:pt idx="5">
                  <c:v>89.594136125652142</c:v>
                </c:pt>
                <c:pt idx="6">
                  <c:v>121.00506641366172</c:v>
                </c:pt>
                <c:pt idx="7">
                  <c:v>118.13684365781901</c:v>
                </c:pt>
                <c:pt idx="8">
                  <c:v>92.007246022033584</c:v>
                </c:pt>
                <c:pt idx="9">
                  <c:v>127.03103448275905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CA37-43D2-AC47-A6A0560F15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90187743"/>
        <c:axId val="290171423"/>
      </c:scatterChart>
      <c:valAx>
        <c:axId val="290187743"/>
        <c:scaling>
          <c:logBase val="10"/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0171423"/>
        <c:crosses val="autoZero"/>
        <c:crossBetween val="midCat"/>
      </c:valAx>
      <c:valAx>
        <c:axId val="290171423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018774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604698</xdr:colOff>
      <xdr:row>0</xdr:row>
      <xdr:rowOff>0</xdr:rowOff>
    </xdr:from>
    <xdr:to>
      <xdr:col>22</xdr:col>
      <xdr:colOff>7583</xdr:colOff>
      <xdr:row>13</xdr:row>
      <xdr:rowOff>118276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97002846-4128-4F0D-9EE8-A17B2204A329}"/>
            </a:ext>
          </a:extLst>
        </xdr:cNvPr>
        <xdr:cNvSpPr txBox="1"/>
      </xdr:nvSpPr>
      <xdr:spPr>
        <a:xfrm>
          <a:off x="7277747" y="0"/>
          <a:ext cx="6075933" cy="252264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100"/>
            <a:t>A producing well was hydraulically fractured</a:t>
          </a:r>
          <a:r>
            <a:rPr lang="en-IN" sz="1100" baseline="0"/>
            <a:t> because its productivity had decreased. A drawdown test was conducted to measure the success of the operation. The pressure versus time data is given in the table. </a:t>
          </a:r>
        </a:p>
        <a:p>
          <a:endParaRPr lang="en-IN" sz="1100" baseline="0"/>
        </a:p>
        <a:p>
          <a:r>
            <a:rPr lang="en-IN" sz="1100" baseline="0"/>
            <a:t>Initial Reservoir Pressure = 5000 psia</a:t>
          </a:r>
        </a:p>
        <a:p>
          <a:r>
            <a:rPr lang="en-IN" sz="1100" baseline="0"/>
            <a:t>Rate = 2000 stb/d</a:t>
          </a:r>
        </a:p>
        <a:p>
          <a:r>
            <a:rPr lang="en-IN" sz="1100" baseline="0"/>
            <a:t>Formation thickness = 50 ft</a:t>
          </a:r>
        </a:p>
        <a:p>
          <a:r>
            <a:rPr lang="en-IN" sz="1100" baseline="0"/>
            <a:t>Porosity = 0.24</a:t>
          </a:r>
        </a:p>
        <a:p>
          <a:r>
            <a:rPr lang="en-IN" sz="1100" baseline="0"/>
            <a:t>Total Compressibility = 14.8*10</a:t>
          </a:r>
          <a:r>
            <a:rPr lang="en-IN" sz="1100" baseline="30000"/>
            <a:t>-6</a:t>
          </a:r>
          <a:r>
            <a:rPr lang="en-IN" sz="1100" baseline="0"/>
            <a:t> psi</a:t>
          </a:r>
          <a:r>
            <a:rPr lang="en-IN" sz="1100" baseline="30000"/>
            <a:t>-1</a:t>
          </a:r>
        </a:p>
        <a:p>
          <a:r>
            <a:rPr lang="en-IN" sz="1100" baseline="0"/>
            <a:t>Bo = 1.5 rb/stb</a:t>
          </a:r>
        </a:p>
        <a:p>
          <a:r>
            <a:rPr lang="en-IN" sz="1100" baseline="0"/>
            <a:t>Oil viscosity = 0.3 cp</a:t>
          </a:r>
        </a:p>
        <a:p>
          <a:r>
            <a:rPr lang="en-IN" sz="1100" baseline="0"/>
            <a:t>Wellbore radius = 0.29 ft</a:t>
          </a:r>
        </a:p>
        <a:p>
          <a:endParaRPr lang="en-IN" sz="1100" baseline="0"/>
        </a:p>
        <a:p>
          <a:r>
            <a:rPr lang="en-IN" sz="1100" baseline="0"/>
            <a:t>Analyze the test.</a:t>
          </a:r>
        </a:p>
      </xdr:txBody>
    </xdr:sp>
    <xdr:clientData/>
  </xdr:twoCellAnchor>
  <xdr:twoCellAnchor>
    <xdr:from>
      <xdr:col>14</xdr:col>
      <xdr:colOff>310718</xdr:colOff>
      <xdr:row>15</xdr:row>
      <xdr:rowOff>168369</xdr:rowOff>
    </xdr:from>
    <xdr:to>
      <xdr:col>21</xdr:col>
      <xdr:colOff>589498</xdr:colOff>
      <xdr:row>30</xdr:row>
      <xdr:rowOff>124667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B66AFFF-CB70-1924-4D69-1C393D6E0A6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292485</xdr:colOff>
      <xdr:row>31</xdr:row>
      <xdr:rowOff>98521</xdr:rowOff>
    </xdr:from>
    <xdr:to>
      <xdr:col>22</xdr:col>
      <xdr:colOff>0</xdr:colOff>
      <xdr:row>46</xdr:row>
      <xdr:rowOff>70811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6E775A6-5A16-AD8F-C306-41065EE8DB7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291701</xdr:colOff>
      <xdr:row>47</xdr:row>
      <xdr:rowOff>116682</xdr:rowOff>
    </xdr:from>
    <xdr:to>
      <xdr:col>22</xdr:col>
      <xdr:colOff>5951</xdr:colOff>
      <xdr:row>63</xdr:row>
      <xdr:rowOff>2382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C965A513-BB18-4D7C-CE4A-E920F95B3B3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1930D5-8CB2-42CA-A770-1FC92E85133C}">
  <dimension ref="A1:L59"/>
  <sheetViews>
    <sheetView tabSelected="1" topLeftCell="D1" zoomScale="81" zoomScaleNormal="82" workbookViewId="0">
      <selection activeCell="L44" sqref="L44"/>
    </sheetView>
  </sheetViews>
  <sheetFormatPr defaultRowHeight="14.4" x14ac:dyDescent="0.3"/>
  <cols>
    <col min="12" max="12" width="11" bestFit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7</v>
      </c>
      <c r="E1" t="s">
        <v>8</v>
      </c>
      <c r="F1" t="s">
        <v>12</v>
      </c>
      <c r="G1" t="s">
        <v>11</v>
      </c>
      <c r="J1" t="s">
        <v>13</v>
      </c>
    </row>
    <row r="2" spans="1:10" x14ac:dyDescent="0.3">
      <c r="A2">
        <v>0</v>
      </c>
      <c r="B2">
        <v>5000</v>
      </c>
      <c r="C2">
        <f>A2^0.5</f>
        <v>0</v>
      </c>
      <c r="D2">
        <f>5000-B2</f>
        <v>0</v>
      </c>
      <c r="F2">
        <v>170</v>
      </c>
      <c r="G2">
        <v>0.5</v>
      </c>
      <c r="J2">
        <f t="shared" ref="J2:J33" si="0">$F$2*A2^$G$2</f>
        <v>0</v>
      </c>
    </row>
    <row r="3" spans="1:10" x14ac:dyDescent="0.3">
      <c r="A3">
        <v>1.0019999999999999E-2</v>
      </c>
      <c r="B3">
        <v>4980.6099999999997</v>
      </c>
      <c r="C3">
        <f t="shared" ref="C3:C53" si="1">A3^0.5</f>
        <v>0.10009995004993759</v>
      </c>
      <c r="D3">
        <f>5000-B3</f>
        <v>19.390000000000327</v>
      </c>
      <c r="E3">
        <f>(B2-B3)*A3/(A3-A2)</f>
        <v>19.390000000000327</v>
      </c>
      <c r="J3">
        <f t="shared" si="0"/>
        <v>17.01699150848939</v>
      </c>
    </row>
    <row r="4" spans="1:10" x14ac:dyDescent="0.3">
      <c r="A4">
        <v>1.209E-2</v>
      </c>
      <c r="B4">
        <v>4978.68</v>
      </c>
      <c r="C4">
        <f t="shared" si="1"/>
        <v>0.10995453605922768</v>
      </c>
      <c r="D4">
        <f t="shared" ref="D4:D53" si="2">5000-B4</f>
        <v>21.319999999999709</v>
      </c>
      <c r="E4">
        <f t="shared" ref="E4:E53" si="3">(B3-B4)*A4/(A4-A3)</f>
        <v>11.272318840576094</v>
      </c>
      <c r="J4">
        <f t="shared" si="0"/>
        <v>18.692271130068708</v>
      </c>
    </row>
    <row r="5" spans="1:10" x14ac:dyDescent="0.3">
      <c r="A5">
        <v>1.4200000000000001E-2</v>
      </c>
      <c r="B5">
        <v>4976.57</v>
      </c>
      <c r="C5">
        <f t="shared" si="1"/>
        <v>0.11916375287812986</v>
      </c>
      <c r="D5">
        <f t="shared" si="2"/>
        <v>23.430000000000291</v>
      </c>
      <c r="E5">
        <f t="shared" si="3"/>
        <v>14.200000000003913</v>
      </c>
      <c r="J5">
        <f t="shared" si="0"/>
        <v>20.257837989282077</v>
      </c>
    </row>
    <row r="6" spans="1:10" x14ac:dyDescent="0.3">
      <c r="A6">
        <v>1.7299999999999999E-2</v>
      </c>
      <c r="B6">
        <v>4974.24</v>
      </c>
      <c r="C6">
        <f t="shared" si="1"/>
        <v>0.13152946437965904</v>
      </c>
      <c r="D6">
        <f t="shared" si="2"/>
        <v>25.760000000000218</v>
      </c>
      <c r="E6">
        <f t="shared" si="3"/>
        <v>13.002903225806051</v>
      </c>
      <c r="J6">
        <f t="shared" si="0"/>
        <v>22.360008944542038</v>
      </c>
    </row>
    <row r="7" spans="1:10" x14ac:dyDescent="0.3">
      <c r="A7">
        <v>2.0899999999999998E-2</v>
      </c>
      <c r="B7">
        <v>4971.9799999999996</v>
      </c>
      <c r="C7">
        <f t="shared" si="1"/>
        <v>0.14456832294800959</v>
      </c>
      <c r="D7">
        <f t="shared" si="2"/>
        <v>28.020000000000437</v>
      </c>
      <c r="E7">
        <f t="shared" si="3"/>
        <v>13.120555555556825</v>
      </c>
      <c r="J7">
        <f t="shared" si="0"/>
        <v>24.57661490116163</v>
      </c>
    </row>
    <row r="8" spans="1:10" x14ac:dyDescent="0.3">
      <c r="A8">
        <v>2.52E-2</v>
      </c>
      <c r="B8">
        <v>4969.2</v>
      </c>
      <c r="C8">
        <f t="shared" si="1"/>
        <v>0.15874507866387544</v>
      </c>
      <c r="D8">
        <f t="shared" si="2"/>
        <v>30.800000000000182</v>
      </c>
      <c r="E8">
        <f t="shared" si="3"/>
        <v>16.292093023254314</v>
      </c>
      <c r="J8">
        <f t="shared" si="0"/>
        <v>26.986663372858825</v>
      </c>
    </row>
    <row r="9" spans="1:10" x14ac:dyDescent="0.3">
      <c r="A9">
        <v>3.0800000000000001E-2</v>
      </c>
      <c r="B9">
        <v>4966.1400000000003</v>
      </c>
      <c r="C9">
        <f t="shared" si="1"/>
        <v>0.17549928774784243</v>
      </c>
      <c r="D9">
        <f t="shared" si="2"/>
        <v>33.859999999999673</v>
      </c>
      <c r="E9">
        <f t="shared" si="3"/>
        <v>16.829999999997195</v>
      </c>
      <c r="J9">
        <f t="shared" si="0"/>
        <v>29.834878917133214</v>
      </c>
    </row>
    <row r="10" spans="1:10" x14ac:dyDescent="0.3">
      <c r="A10">
        <v>3.6799999999999999E-2</v>
      </c>
      <c r="B10">
        <v>4963.17</v>
      </c>
      <c r="C10">
        <f t="shared" si="1"/>
        <v>0.19183326093250877</v>
      </c>
      <c r="D10">
        <f t="shared" si="2"/>
        <v>36.829999999999927</v>
      </c>
      <c r="E10">
        <f t="shared" si="3"/>
        <v>18.216000000001568</v>
      </c>
      <c r="J10">
        <f t="shared" si="0"/>
        <v>32.611654358526494</v>
      </c>
    </row>
    <row r="11" spans="1:10" x14ac:dyDescent="0.3">
      <c r="A11">
        <v>4.36E-2</v>
      </c>
      <c r="B11">
        <v>4959.5200000000004</v>
      </c>
      <c r="C11">
        <f t="shared" si="1"/>
        <v>0.20880613017821101</v>
      </c>
      <c r="D11">
        <f t="shared" si="2"/>
        <v>40.479999999999563</v>
      </c>
      <c r="E11">
        <f t="shared" si="3"/>
        <v>23.402941176468254</v>
      </c>
      <c r="J11">
        <f t="shared" si="0"/>
        <v>35.497042130295874</v>
      </c>
    </row>
    <row r="12" spans="1:10" x14ac:dyDescent="0.3">
      <c r="A12">
        <v>5.2600000000000001E-2</v>
      </c>
      <c r="B12">
        <v>4955.96</v>
      </c>
      <c r="C12">
        <f t="shared" si="1"/>
        <v>0.2293468988235943</v>
      </c>
      <c r="D12">
        <f t="shared" si="2"/>
        <v>44.039999999999964</v>
      </c>
      <c r="E12">
        <f t="shared" si="3"/>
        <v>20.806222222224559</v>
      </c>
      <c r="J12">
        <f t="shared" si="0"/>
        <v>38.988972800011034</v>
      </c>
    </row>
    <row r="13" spans="1:10" x14ac:dyDescent="0.3">
      <c r="A13">
        <v>6.3399999999999998E-2</v>
      </c>
      <c r="B13">
        <v>4951.59</v>
      </c>
      <c r="C13">
        <f t="shared" si="1"/>
        <v>0.25179356624028343</v>
      </c>
      <c r="D13">
        <f t="shared" si="2"/>
        <v>48.409999999999854</v>
      </c>
      <c r="E13">
        <f t="shared" si="3"/>
        <v>25.653518518517885</v>
      </c>
      <c r="J13">
        <f t="shared" si="0"/>
        <v>42.804906260848185</v>
      </c>
    </row>
    <row r="14" spans="1:10" x14ac:dyDescent="0.3">
      <c r="A14">
        <v>7.5399999999999995E-2</v>
      </c>
      <c r="B14">
        <v>4947.3500000000004</v>
      </c>
      <c r="C14">
        <f t="shared" si="1"/>
        <v>0.27459060435491961</v>
      </c>
      <c r="D14">
        <f t="shared" si="2"/>
        <v>52.649999999999636</v>
      </c>
      <c r="E14">
        <f t="shared" si="3"/>
        <v>26.641333333331964</v>
      </c>
      <c r="J14">
        <f t="shared" si="0"/>
        <v>46.680402740336334</v>
      </c>
    </row>
    <row r="15" spans="1:10" x14ac:dyDescent="0.3">
      <c r="A15">
        <v>9.0999999999999998E-2</v>
      </c>
      <c r="B15">
        <v>4942.72</v>
      </c>
      <c r="C15">
        <f t="shared" si="1"/>
        <v>0.30166206257996714</v>
      </c>
      <c r="D15">
        <f t="shared" si="2"/>
        <v>57.279999999999745</v>
      </c>
      <c r="E15">
        <f t="shared" si="3"/>
        <v>27.008333333333965</v>
      </c>
      <c r="J15">
        <f t="shared" si="0"/>
        <v>51.282550638594415</v>
      </c>
    </row>
    <row r="16" spans="1:10" x14ac:dyDescent="0.3">
      <c r="A16">
        <v>0.11</v>
      </c>
      <c r="B16">
        <v>4937.66</v>
      </c>
      <c r="C16">
        <f t="shared" si="1"/>
        <v>0.33166247903553997</v>
      </c>
      <c r="D16">
        <f t="shared" si="2"/>
        <v>62.340000000000146</v>
      </c>
      <c r="E16">
        <f t="shared" si="3"/>
        <v>29.294736842107579</v>
      </c>
      <c r="J16">
        <f t="shared" si="0"/>
        <v>56.382621436041795</v>
      </c>
    </row>
    <row r="17" spans="1:12" x14ac:dyDescent="0.3">
      <c r="A17">
        <v>0.13200000000000001</v>
      </c>
      <c r="B17">
        <v>4932.2299999999996</v>
      </c>
      <c r="C17">
        <f t="shared" si="1"/>
        <v>0.36331804249169902</v>
      </c>
      <c r="D17">
        <f t="shared" si="2"/>
        <v>67.770000000000437</v>
      </c>
      <c r="E17">
        <f t="shared" si="3"/>
        <v>32.580000000001739</v>
      </c>
      <c r="J17">
        <f t="shared" si="0"/>
        <v>61.764067223588832</v>
      </c>
    </row>
    <row r="18" spans="1:12" x14ac:dyDescent="0.3">
      <c r="A18">
        <v>0.159</v>
      </c>
      <c r="B18">
        <v>4927.05</v>
      </c>
      <c r="C18">
        <f t="shared" si="1"/>
        <v>0.39874804074753772</v>
      </c>
      <c r="D18">
        <f t="shared" si="2"/>
        <v>72.949999999999818</v>
      </c>
      <c r="E18">
        <f t="shared" si="3"/>
        <v>30.504444444440807</v>
      </c>
      <c r="J18">
        <f t="shared" si="0"/>
        <v>67.787166927081415</v>
      </c>
      <c r="L18" s="1" t="s">
        <v>3</v>
      </c>
    </row>
    <row r="19" spans="1:12" x14ac:dyDescent="0.3">
      <c r="A19">
        <v>0.19</v>
      </c>
      <c r="B19">
        <v>4921.4799999999996</v>
      </c>
      <c r="C19">
        <f t="shared" si="1"/>
        <v>0.43588989435406733</v>
      </c>
      <c r="D19">
        <f t="shared" si="2"/>
        <v>78.520000000000437</v>
      </c>
      <c r="E19">
        <f t="shared" si="3"/>
        <v>34.138709677423144</v>
      </c>
      <c r="J19">
        <f t="shared" si="0"/>
        <v>74.10128204019145</v>
      </c>
    </row>
    <row r="20" spans="1:12" x14ac:dyDescent="0.3">
      <c r="A20">
        <v>0.22900000000000001</v>
      </c>
      <c r="B20">
        <v>4915.49</v>
      </c>
      <c r="C20">
        <f t="shared" si="1"/>
        <v>0.47853944456021597</v>
      </c>
      <c r="D20">
        <f t="shared" si="2"/>
        <v>84.510000000000218</v>
      </c>
      <c r="E20">
        <f t="shared" si="3"/>
        <v>35.172051282049992</v>
      </c>
      <c r="J20">
        <f t="shared" si="0"/>
        <v>81.351705575236707</v>
      </c>
      <c r="K20" t="s">
        <v>4</v>
      </c>
      <c r="L20">
        <f>4.06*2000*1.5*SQRT(0.3*10^6/(12.07*0.24*14.8))/(50*168.17)</f>
        <v>121.17116223878651</v>
      </c>
    </row>
    <row r="21" spans="1:12" x14ac:dyDescent="0.3">
      <c r="A21">
        <v>0.27600000000000002</v>
      </c>
      <c r="B21">
        <v>4907.1000000000004</v>
      </c>
      <c r="C21">
        <f t="shared" si="1"/>
        <v>0.52535702146254792</v>
      </c>
      <c r="D21">
        <f t="shared" si="2"/>
        <v>92.899999999999636</v>
      </c>
      <c r="E21">
        <f t="shared" si="3"/>
        <v>49.268936170209336</v>
      </c>
      <c r="J21">
        <f t="shared" si="0"/>
        <v>89.310693648633148</v>
      </c>
    </row>
    <row r="22" spans="1:12" x14ac:dyDescent="0.3">
      <c r="A22">
        <v>0.33200000000000002</v>
      </c>
      <c r="B22">
        <v>4900</v>
      </c>
      <c r="C22">
        <f t="shared" si="1"/>
        <v>0.57619441163551732</v>
      </c>
      <c r="D22">
        <f t="shared" si="2"/>
        <v>100</v>
      </c>
      <c r="E22">
        <f t="shared" si="3"/>
        <v>42.092857142859309</v>
      </c>
      <c r="J22">
        <f t="shared" si="0"/>
        <v>97.953049978037939</v>
      </c>
    </row>
    <row r="23" spans="1:12" x14ac:dyDescent="0.3">
      <c r="A23">
        <v>0.39600000000000002</v>
      </c>
      <c r="B23">
        <v>4892.37</v>
      </c>
      <c r="C23">
        <f t="shared" si="1"/>
        <v>0.62928530890209089</v>
      </c>
      <c r="D23">
        <f t="shared" si="2"/>
        <v>107.63000000000011</v>
      </c>
      <c r="E23">
        <f t="shared" si="3"/>
        <v>47.210625000000675</v>
      </c>
      <c r="J23">
        <f t="shared" si="0"/>
        <v>106.97850251335545</v>
      </c>
    </row>
    <row r="24" spans="1:12" x14ac:dyDescent="0.3">
      <c r="A24">
        <v>0.47699999999999998</v>
      </c>
      <c r="B24">
        <v>4884.1400000000003</v>
      </c>
      <c r="C24">
        <f t="shared" si="1"/>
        <v>0.69065186599328032</v>
      </c>
      <c r="D24">
        <f t="shared" si="2"/>
        <v>115.85999999999967</v>
      </c>
      <c r="E24">
        <f t="shared" si="3"/>
        <v>48.46555555555301</v>
      </c>
      <c r="J24">
        <f t="shared" si="0"/>
        <v>117.41081721885766</v>
      </c>
    </row>
    <row r="25" spans="1:12" x14ac:dyDescent="0.3">
      <c r="A25">
        <v>0.56799999999999995</v>
      </c>
      <c r="B25">
        <v>4875.29</v>
      </c>
      <c r="C25">
        <f t="shared" si="1"/>
        <v>0.7536577472566709</v>
      </c>
      <c r="D25">
        <f t="shared" si="2"/>
        <v>124.71000000000004</v>
      </c>
      <c r="E25">
        <f t="shared" si="3"/>
        <v>55.239560439562716</v>
      </c>
      <c r="J25">
        <f t="shared" si="0"/>
        <v>128.12181703363404</v>
      </c>
    </row>
    <row r="26" spans="1:12" x14ac:dyDescent="0.3">
      <c r="A26">
        <v>0.68500000000000005</v>
      </c>
      <c r="B26">
        <v>4865.7700000000004</v>
      </c>
      <c r="C26">
        <f t="shared" si="1"/>
        <v>0.82764726786234244</v>
      </c>
      <c r="D26">
        <f t="shared" si="2"/>
        <v>134.22999999999956</v>
      </c>
      <c r="E26">
        <f t="shared" si="3"/>
        <v>55.736752136749317</v>
      </c>
      <c r="J26">
        <f t="shared" si="0"/>
        <v>140.70003553659822</v>
      </c>
    </row>
    <row r="27" spans="1:12" x14ac:dyDescent="0.3">
      <c r="A27">
        <v>0.83599999999999997</v>
      </c>
      <c r="B27">
        <v>4855.5200000000004</v>
      </c>
      <c r="C27">
        <f t="shared" si="1"/>
        <v>0.91433035605299684</v>
      </c>
      <c r="D27">
        <f t="shared" si="2"/>
        <v>144.47999999999956</v>
      </c>
      <c r="E27">
        <f t="shared" si="3"/>
        <v>56.748344370860956</v>
      </c>
      <c r="J27">
        <f t="shared" si="0"/>
        <v>155.43616052900947</v>
      </c>
    </row>
    <row r="28" spans="1:12" x14ac:dyDescent="0.3">
      <c r="A28">
        <v>0.995</v>
      </c>
      <c r="B28">
        <v>4844.4799999999996</v>
      </c>
      <c r="C28">
        <f t="shared" si="1"/>
        <v>0.99749686716300012</v>
      </c>
      <c r="D28">
        <f t="shared" si="2"/>
        <v>155.52000000000044</v>
      </c>
      <c r="E28">
        <f t="shared" si="3"/>
        <v>69.086792452835638</v>
      </c>
      <c r="J28">
        <f t="shared" si="0"/>
        <v>169.57446741771003</v>
      </c>
    </row>
    <row r="29" spans="1:12" x14ac:dyDescent="0.3">
      <c r="A29">
        <v>1.2</v>
      </c>
      <c r="B29">
        <v>4832.6000000000004</v>
      </c>
      <c r="C29">
        <f t="shared" si="1"/>
        <v>1.0954451150103321</v>
      </c>
      <c r="D29">
        <f t="shared" si="2"/>
        <v>167.39999999999964</v>
      </c>
      <c r="E29">
        <f t="shared" si="3"/>
        <v>69.541463414629476</v>
      </c>
      <c r="J29">
        <f t="shared" si="0"/>
        <v>186.22566955175645</v>
      </c>
    </row>
    <row r="30" spans="1:12" x14ac:dyDescent="0.3">
      <c r="A30">
        <v>1.446</v>
      </c>
      <c r="B30">
        <v>4819.82</v>
      </c>
      <c r="C30">
        <f t="shared" si="1"/>
        <v>1.202497401244593</v>
      </c>
      <c r="D30">
        <f t="shared" si="2"/>
        <v>180.18000000000029</v>
      </c>
      <c r="E30">
        <f t="shared" si="3"/>
        <v>75.121463414638001</v>
      </c>
      <c r="J30">
        <f t="shared" si="0"/>
        <v>204.4245582115808</v>
      </c>
    </row>
    <row r="31" spans="1:12" x14ac:dyDescent="0.3">
      <c r="A31">
        <v>1.74</v>
      </c>
      <c r="B31">
        <v>4806.0600000000004</v>
      </c>
      <c r="C31">
        <f t="shared" si="1"/>
        <v>1.3190905958272918</v>
      </c>
      <c r="D31">
        <f t="shared" si="2"/>
        <v>193.9399999999996</v>
      </c>
      <c r="E31">
        <f t="shared" si="3"/>
        <v>81.436734693873447</v>
      </c>
      <c r="J31">
        <f t="shared" si="0"/>
        <v>224.24540129063962</v>
      </c>
    </row>
    <row r="32" spans="1:12" x14ac:dyDescent="0.3">
      <c r="A32">
        <v>2.1</v>
      </c>
      <c r="B32">
        <v>4793.43</v>
      </c>
      <c r="C32">
        <f t="shared" si="1"/>
        <v>1.4491376746189439</v>
      </c>
      <c r="D32">
        <f t="shared" si="2"/>
        <v>206.56999999999971</v>
      </c>
      <c r="E32">
        <f t="shared" si="3"/>
        <v>73.675000000000622</v>
      </c>
      <c r="J32">
        <f t="shared" si="0"/>
        <v>246.35340468522048</v>
      </c>
    </row>
    <row r="33" spans="1:12" x14ac:dyDescent="0.3">
      <c r="A33">
        <v>2.5</v>
      </c>
      <c r="B33">
        <v>4779.9799999999996</v>
      </c>
      <c r="C33">
        <f t="shared" si="1"/>
        <v>1.5811388300841898</v>
      </c>
      <c r="D33">
        <f t="shared" si="2"/>
        <v>220.02000000000044</v>
      </c>
      <c r="E33">
        <f t="shared" si="3"/>
        <v>84.062500000004562</v>
      </c>
      <c r="J33">
        <f t="shared" si="0"/>
        <v>268.79360111431225</v>
      </c>
      <c r="L33" s="1" t="s">
        <v>5</v>
      </c>
    </row>
    <row r="34" spans="1:12" x14ac:dyDescent="0.3">
      <c r="A34">
        <v>3.02</v>
      </c>
      <c r="B34">
        <v>4763.17</v>
      </c>
      <c r="C34">
        <f t="shared" si="1"/>
        <v>1.7378147196982767</v>
      </c>
      <c r="D34">
        <f t="shared" si="2"/>
        <v>236.82999999999993</v>
      </c>
      <c r="E34">
        <f t="shared" si="3"/>
        <v>97.62730769230474</v>
      </c>
      <c r="J34">
        <f t="shared" ref="J34:J53" si="4">$F$2*A34^$G$2</f>
        <v>295.42850234870707</v>
      </c>
    </row>
    <row r="35" spans="1:12" x14ac:dyDescent="0.3">
      <c r="A35">
        <v>3.63</v>
      </c>
      <c r="B35">
        <v>4747.75</v>
      </c>
      <c r="C35">
        <f t="shared" si="1"/>
        <v>1.9052558883257651</v>
      </c>
      <c r="D35">
        <f t="shared" si="2"/>
        <v>252.25</v>
      </c>
      <c r="E35">
        <f t="shared" si="3"/>
        <v>91.761639344262747</v>
      </c>
      <c r="J35">
        <f t="shared" si="4"/>
        <v>323.89350101538008</v>
      </c>
      <c r="K35" t="s">
        <v>6</v>
      </c>
      <c r="L35">
        <f>162.6*2000*0.3*1.5/(2.303*105.3*50)</f>
        <v>12.068984713361614</v>
      </c>
    </row>
    <row r="36" spans="1:12" x14ac:dyDescent="0.3">
      <c r="A36">
        <v>4.38</v>
      </c>
      <c r="B36">
        <v>4731.33</v>
      </c>
      <c r="C36">
        <f t="shared" si="1"/>
        <v>2.0928449536456348</v>
      </c>
      <c r="D36">
        <f t="shared" si="2"/>
        <v>268.67000000000007</v>
      </c>
      <c r="E36">
        <f t="shared" si="3"/>
        <v>95.89280000000042</v>
      </c>
      <c r="J36">
        <f t="shared" si="4"/>
        <v>355.78364211975793</v>
      </c>
    </row>
    <row r="37" spans="1:12" x14ac:dyDescent="0.3">
      <c r="A37">
        <v>5.21</v>
      </c>
      <c r="B37">
        <v>4713.83</v>
      </c>
      <c r="C37">
        <f t="shared" si="1"/>
        <v>2.2825424421026654</v>
      </c>
      <c r="D37">
        <f t="shared" si="2"/>
        <v>286.17000000000007</v>
      </c>
      <c r="E37">
        <f t="shared" si="3"/>
        <v>109.84939759036143</v>
      </c>
      <c r="J37">
        <f t="shared" si="4"/>
        <v>388.03221515745315</v>
      </c>
    </row>
    <row r="38" spans="1:12" x14ac:dyDescent="0.3">
      <c r="A38">
        <v>6.29</v>
      </c>
      <c r="B38">
        <v>4698.38</v>
      </c>
      <c r="C38">
        <f t="shared" si="1"/>
        <v>2.5079872407968904</v>
      </c>
      <c r="D38">
        <f t="shared" si="2"/>
        <v>301.61999999999989</v>
      </c>
      <c r="E38">
        <f t="shared" si="3"/>
        <v>89.981944444443386</v>
      </c>
      <c r="J38">
        <f t="shared" si="4"/>
        <v>426.35783093547138</v>
      </c>
    </row>
    <row r="39" spans="1:12" x14ac:dyDescent="0.3">
      <c r="A39">
        <v>7.58</v>
      </c>
      <c r="B39">
        <v>4678.74</v>
      </c>
      <c r="C39">
        <f t="shared" si="1"/>
        <v>2.7531799795872409</v>
      </c>
      <c r="D39">
        <f t="shared" si="2"/>
        <v>321.26000000000022</v>
      </c>
      <c r="E39">
        <f>(B38-B39)*A39/(A39-A38)</f>
        <v>115.40403100775386</v>
      </c>
      <c r="J39">
        <f t="shared" si="4"/>
        <v>468.04059652983096</v>
      </c>
    </row>
    <row r="40" spans="1:12" x14ac:dyDescent="0.3">
      <c r="A40">
        <v>9.14</v>
      </c>
      <c r="B40">
        <v>4661.3999999999996</v>
      </c>
      <c r="C40">
        <f t="shared" si="1"/>
        <v>3.0232432915661951</v>
      </c>
      <c r="D40">
        <f t="shared" si="2"/>
        <v>338.60000000000036</v>
      </c>
      <c r="E40">
        <f t="shared" si="3"/>
        <v>101.59461538461622</v>
      </c>
      <c r="J40">
        <f t="shared" si="4"/>
        <v>513.95135956625313</v>
      </c>
    </row>
    <row r="41" spans="1:12" x14ac:dyDescent="0.3">
      <c r="A41">
        <v>11.02</v>
      </c>
      <c r="B41">
        <v>4643.13</v>
      </c>
      <c r="C41">
        <f t="shared" si="1"/>
        <v>3.3196385345395663</v>
      </c>
      <c r="D41">
        <f t="shared" si="2"/>
        <v>356.86999999999989</v>
      </c>
      <c r="E41">
        <f t="shared" si="3"/>
        <v>107.09329787233771</v>
      </c>
      <c r="J41">
        <f t="shared" si="4"/>
        <v>564.33855087172628</v>
      </c>
    </row>
    <row r="42" spans="1:12" x14ac:dyDescent="0.3">
      <c r="A42">
        <v>13.12</v>
      </c>
      <c r="B42">
        <v>4623.87</v>
      </c>
      <c r="C42">
        <f t="shared" si="1"/>
        <v>3.6221540552549665</v>
      </c>
      <c r="D42">
        <f t="shared" si="2"/>
        <v>376.13000000000011</v>
      </c>
      <c r="E42">
        <f t="shared" si="3"/>
        <v>120.32914285714423</v>
      </c>
      <c r="J42">
        <f t="shared" si="4"/>
        <v>615.76618939334435</v>
      </c>
    </row>
    <row r="43" spans="1:12" x14ac:dyDescent="0.3">
      <c r="A43">
        <v>15.81</v>
      </c>
      <c r="B43">
        <v>4607.71</v>
      </c>
      <c r="C43">
        <f t="shared" si="1"/>
        <v>3.9761790704142088</v>
      </c>
      <c r="D43">
        <f t="shared" si="2"/>
        <v>392.28999999999996</v>
      </c>
      <c r="E43">
        <f t="shared" si="3"/>
        <v>94.97754646840059</v>
      </c>
      <c r="J43">
        <f t="shared" si="4"/>
        <v>675.95044197041545</v>
      </c>
    </row>
    <row r="44" spans="1:12" x14ac:dyDescent="0.3">
      <c r="A44">
        <v>19.07</v>
      </c>
      <c r="B44">
        <v>4586.54</v>
      </c>
      <c r="C44">
        <f t="shared" si="1"/>
        <v>4.3669211121796101</v>
      </c>
      <c r="D44">
        <f t="shared" si="2"/>
        <v>413.46000000000004</v>
      </c>
      <c r="E44">
        <f t="shared" si="3"/>
        <v>123.83800613496976</v>
      </c>
      <c r="J44">
        <f t="shared" si="4"/>
        <v>742.37658907053367</v>
      </c>
    </row>
    <row r="45" spans="1:12" x14ac:dyDescent="0.3">
      <c r="A45">
        <v>21.99</v>
      </c>
      <c r="B45">
        <v>4568.78</v>
      </c>
      <c r="C45">
        <f t="shared" si="1"/>
        <v>4.6893496350773418</v>
      </c>
      <c r="D45">
        <f t="shared" si="2"/>
        <v>431.22000000000025</v>
      </c>
      <c r="E45">
        <f t="shared" si="3"/>
        <v>133.74739726027568</v>
      </c>
      <c r="J45">
        <f t="shared" si="4"/>
        <v>797.18943796314807</v>
      </c>
    </row>
    <row r="46" spans="1:12" x14ac:dyDescent="0.3">
      <c r="A46">
        <v>27.72</v>
      </c>
      <c r="B46">
        <v>4550.26</v>
      </c>
      <c r="C46">
        <f t="shared" si="1"/>
        <v>5.2649786324352732</v>
      </c>
      <c r="D46">
        <f t="shared" si="2"/>
        <v>449.73999999999978</v>
      </c>
      <c r="E46">
        <f t="shared" si="3"/>
        <v>89.594136125652142</v>
      </c>
      <c r="J46">
        <f t="shared" si="4"/>
        <v>895.04636751399642</v>
      </c>
    </row>
    <row r="47" spans="1:12" x14ac:dyDescent="0.3">
      <c r="A47">
        <v>32.99</v>
      </c>
      <c r="B47">
        <v>4530.93</v>
      </c>
      <c r="C47">
        <f t="shared" si="1"/>
        <v>5.7436921923097515</v>
      </c>
      <c r="D47">
        <f t="shared" si="2"/>
        <v>469.06999999999971</v>
      </c>
      <c r="E47">
        <f t="shared" si="3"/>
        <v>121.00506641366172</v>
      </c>
      <c r="J47">
        <f t="shared" si="4"/>
        <v>976.42767269265778</v>
      </c>
    </row>
    <row r="48" spans="1:12" x14ac:dyDescent="0.3">
      <c r="A48">
        <v>39.770000000000003</v>
      </c>
      <c r="B48">
        <v>4510.79</v>
      </c>
      <c r="C48">
        <f t="shared" si="1"/>
        <v>6.3063460101710245</v>
      </c>
      <c r="D48">
        <f t="shared" si="2"/>
        <v>489.21000000000004</v>
      </c>
      <c r="E48">
        <f t="shared" si="3"/>
        <v>118.13684365781901</v>
      </c>
      <c r="J48">
        <f t="shared" si="4"/>
        <v>1072.0788217290742</v>
      </c>
    </row>
    <row r="49" spans="1:12" x14ac:dyDescent="0.3">
      <c r="A49">
        <v>47.94</v>
      </c>
      <c r="B49">
        <v>4495.1099999999997</v>
      </c>
      <c r="C49">
        <f t="shared" si="1"/>
        <v>6.923871749245504</v>
      </c>
      <c r="D49">
        <f t="shared" si="2"/>
        <v>504.89000000000033</v>
      </c>
      <c r="E49">
        <f t="shared" si="3"/>
        <v>92.007246022033584</v>
      </c>
      <c r="J49">
        <f t="shared" si="4"/>
        <v>1177.0581973717358</v>
      </c>
    </row>
    <row r="50" spans="1:12" x14ac:dyDescent="0.3">
      <c r="A50">
        <v>57.8</v>
      </c>
      <c r="B50">
        <v>4473.4399999999996</v>
      </c>
      <c r="C50">
        <f t="shared" si="1"/>
        <v>7.6026311234992852</v>
      </c>
      <c r="D50">
        <f t="shared" si="2"/>
        <v>526.5600000000004</v>
      </c>
      <c r="E50">
        <f t="shared" si="3"/>
        <v>127.03103448275905</v>
      </c>
      <c r="J50">
        <f t="shared" si="4"/>
        <v>1292.4472909948786</v>
      </c>
      <c r="L50" t="s">
        <v>9</v>
      </c>
    </row>
    <row r="51" spans="1:12" x14ac:dyDescent="0.3">
      <c r="A51">
        <v>68.8</v>
      </c>
      <c r="B51">
        <v>4456.55</v>
      </c>
      <c r="C51">
        <f t="shared" si="1"/>
        <v>8.2945765413310877</v>
      </c>
      <c r="D51">
        <f t="shared" si="2"/>
        <v>543.44999999999982</v>
      </c>
      <c r="E51">
        <f t="shared" si="3"/>
        <v>105.63927272726909</v>
      </c>
      <c r="J51">
        <f t="shared" si="4"/>
        <v>1410.0780120262848</v>
      </c>
      <c r="L51" t="s">
        <v>10</v>
      </c>
    </row>
    <row r="52" spans="1:12" x14ac:dyDescent="0.3">
      <c r="A52">
        <v>82.95</v>
      </c>
      <c r="B52">
        <v>4433.21</v>
      </c>
      <c r="C52">
        <f t="shared" si="1"/>
        <v>9.1076890592509798</v>
      </c>
      <c r="D52">
        <f t="shared" si="2"/>
        <v>566.79</v>
      </c>
      <c r="E52">
        <f t="shared" si="3"/>
        <v>136.82353356890539</v>
      </c>
      <c r="J52">
        <f t="shared" si="4"/>
        <v>1548.3071400726665</v>
      </c>
    </row>
    <row r="53" spans="1:12" x14ac:dyDescent="0.3">
      <c r="A53">
        <v>97.5</v>
      </c>
      <c r="B53">
        <v>4408.8599999999997</v>
      </c>
      <c r="C53">
        <f t="shared" si="1"/>
        <v>9.8742088290657488</v>
      </c>
      <c r="D53">
        <f t="shared" si="2"/>
        <v>591.14000000000033</v>
      </c>
      <c r="E53">
        <f t="shared" si="3"/>
        <v>163.17010309278598</v>
      </c>
      <c r="J53">
        <f t="shared" si="4"/>
        <v>1678.6155009411773</v>
      </c>
    </row>
    <row r="57" spans="1:12" x14ac:dyDescent="0.3">
      <c r="L57" s="1" t="s">
        <v>14</v>
      </c>
    </row>
    <row r="59" spans="1:12" x14ac:dyDescent="0.3">
      <c r="L59">
        <f>70.6*2000*0.3*1.5/(0.044*50)</f>
        <v>28881.818181818184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Question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2026-08-20T16:06:38Z</dcterms:created>
  <dcterms:modified xsi:type="dcterms:W3CDTF">2026-08-20T16:08:02Z</dcterms:modified>
</cp:coreProperties>
</file>